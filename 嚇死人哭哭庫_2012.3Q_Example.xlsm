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004134.TWLIFE.000\Desktop\"/>
    </mc:Choice>
  </mc:AlternateContent>
  <bookViews>
    <workbookView xWindow="360" yWindow="75" windowWidth="15030" windowHeight="9315" tabRatio="823" activeTab="8"/>
  </bookViews>
  <sheets>
    <sheet name="主頁" sheetId="2" r:id="rId1"/>
    <sheet name="工作表1" sheetId="8" r:id="rId2"/>
    <sheet name="丹尼版" sheetId="10" r:id="rId3"/>
    <sheet name="工作表2" sheetId="9" r:id="rId4"/>
    <sheet name="綜合損益試算用" sheetId="14" r:id="rId5"/>
    <sheet name="綜合損益(IFRS)" sheetId="11" r:id="rId6"/>
    <sheet name="損益表(舊版)" sheetId="12" r:id="rId7"/>
    <sheet name="資產負債表試算用" sheetId="16" r:id="rId8"/>
    <sheet name="資產負債表(IFRS)" sheetId="13" r:id="rId9"/>
    <sheet name="資產負債表(舊版)" sheetId="15" r:id="rId10"/>
    <sheet name="Y" sheetId="5" state="hidden" r:id="rId11"/>
    <sheet name="S" sheetId="6" state="hidden" r:id="rId12"/>
    <sheet name="D" sheetId="7" state="hidden" r:id="rId13"/>
    <sheet name="code" sheetId="4" state="hidden" r:id="rId14"/>
  </sheets>
  <definedNames>
    <definedName name="Code">code!$A$3:$A$3</definedName>
    <definedName name="StockCode" localSheetId="7">#REF!</definedName>
    <definedName name="StockCode">#REF!</definedName>
  </definedNames>
  <calcPr calcId="162913"/>
</workbook>
</file>

<file path=xl/calcChain.xml><?xml version="1.0" encoding="utf-8"?>
<calcChain xmlns="http://schemas.openxmlformats.org/spreadsheetml/2006/main">
  <c r="B64" i="16" l="1"/>
  <c r="B63" i="16"/>
  <c r="B62" i="16"/>
  <c r="B61" i="16"/>
  <c r="B73" i="16"/>
  <c r="B72" i="16"/>
  <c r="B71" i="16"/>
  <c r="B70" i="16"/>
  <c r="B100" i="16"/>
  <c r="B99" i="16"/>
  <c r="B98" i="16"/>
  <c r="B97" i="16"/>
  <c r="B91" i="16"/>
  <c r="B90" i="16"/>
  <c r="B89" i="16"/>
  <c r="B88" i="16"/>
  <c r="B82" i="16"/>
  <c r="B81" i="16"/>
  <c r="B80" i="16"/>
  <c r="B79" i="16"/>
  <c r="B58" i="14"/>
  <c r="B53" i="14"/>
  <c r="B48" i="14"/>
  <c r="B43" i="14"/>
  <c r="B38" i="14"/>
  <c r="B52" i="16"/>
  <c r="B51" i="16"/>
  <c r="B53" i="16" s="1"/>
  <c r="B50" i="16"/>
  <c r="B43" i="16"/>
  <c r="B42" i="16"/>
  <c r="B44" i="16" s="1"/>
  <c r="B41" i="16"/>
  <c r="B34" i="16"/>
  <c r="B33" i="16"/>
  <c r="B35" i="16" s="1"/>
  <c r="B32" i="16"/>
  <c r="B25" i="16"/>
  <c r="B24" i="16"/>
  <c r="B26" i="16" s="1"/>
  <c r="B23" i="16"/>
  <c r="B16" i="16"/>
  <c r="B15" i="16"/>
  <c r="B14" i="16"/>
  <c r="B17" i="16" s="1"/>
  <c r="B7" i="16"/>
  <c r="B6" i="16"/>
  <c r="B5" i="16"/>
  <c r="B8" i="16" s="1"/>
  <c r="B20" i="14"/>
  <c r="B30" i="14"/>
  <c r="B15" i="14"/>
  <c r="B10" i="14"/>
  <c r="B5" i="14"/>
  <c r="P9" i="9" l="1"/>
  <c r="P22" i="9"/>
  <c r="B25" i="14"/>
  <c r="O7" i="9" l="1"/>
  <c r="P27" i="9"/>
  <c r="P17" i="9" l="1"/>
  <c r="P14" i="9" l="1"/>
  <c r="P19" i="9"/>
  <c r="I6" i="9"/>
  <c r="K6" i="9"/>
  <c r="O6" i="9"/>
  <c r="E6" i="9"/>
  <c r="W28" i="8"/>
  <c r="W29" i="8" s="1"/>
  <c r="B2" i="2"/>
  <c r="C2" i="2" s="1"/>
  <c r="I182" i="2" s="1"/>
  <c r="T19" i="2" l="1"/>
  <c r="D176" i="2"/>
  <c r="B176" i="2"/>
  <c r="C176" i="2"/>
  <c r="E176" i="2"/>
  <c r="F176" i="2"/>
  <c r="G176" i="2"/>
  <c r="H176" i="2"/>
  <c r="I176" i="2"/>
  <c r="B181" i="2"/>
  <c r="C181" i="2"/>
  <c r="D181" i="2"/>
  <c r="E181" i="2"/>
  <c r="F181" i="2"/>
  <c r="G181" i="2"/>
  <c r="H181" i="2"/>
  <c r="I181" i="2"/>
  <c r="R173" i="2"/>
  <c r="K173" i="2"/>
  <c r="L173" i="2"/>
  <c r="M173" i="2"/>
  <c r="N173" i="2"/>
  <c r="O173" i="2"/>
  <c r="P173" i="2"/>
  <c r="Q173" i="2"/>
  <c r="K174" i="2"/>
  <c r="L174" i="2"/>
  <c r="M174" i="2"/>
  <c r="N174" i="2"/>
  <c r="O174" i="2"/>
  <c r="P174" i="2"/>
  <c r="Q174" i="2"/>
  <c r="R174" i="2"/>
  <c r="B182" i="2"/>
  <c r="C182" i="2"/>
  <c r="D182" i="2"/>
  <c r="E182" i="2"/>
  <c r="F182" i="2"/>
  <c r="G182" i="2"/>
  <c r="H182" i="2"/>
  <c r="AE8" i="2"/>
  <c r="AE12" i="2"/>
  <c r="AE16" i="2"/>
  <c r="AE20" i="2"/>
  <c r="AE24" i="2"/>
  <c r="AE28" i="2"/>
  <c r="AE32" i="2"/>
  <c r="AE36" i="2"/>
  <c r="AE40" i="2"/>
  <c r="AE44" i="2"/>
  <c r="AE48" i="2"/>
  <c r="AE52" i="2"/>
  <c r="AE11" i="2"/>
  <c r="AE19" i="2"/>
  <c r="AE27" i="2"/>
  <c r="AE35" i="2"/>
  <c r="AE43" i="2"/>
  <c r="AE51" i="2"/>
  <c r="AD15" i="2"/>
  <c r="AD27" i="2"/>
  <c r="AD39" i="2"/>
  <c r="AD51" i="2"/>
  <c r="AE14" i="2"/>
  <c r="AE26" i="2"/>
  <c r="AE38" i="2"/>
  <c r="AE50" i="2"/>
  <c r="AD10" i="2"/>
  <c r="AD22" i="2"/>
  <c r="AD34" i="2"/>
  <c r="AD46" i="2"/>
  <c r="AE9" i="2"/>
  <c r="AE17" i="2"/>
  <c r="AE29" i="2"/>
  <c r="AE41" i="2"/>
  <c r="AE53" i="2"/>
  <c r="AD8" i="2"/>
  <c r="AD12" i="2"/>
  <c r="AD16" i="2"/>
  <c r="AD20" i="2"/>
  <c r="AD24" i="2"/>
  <c r="AD28" i="2"/>
  <c r="AD32" i="2"/>
  <c r="AD36" i="2"/>
  <c r="AD40" i="2"/>
  <c r="AD44" i="2"/>
  <c r="AD48" i="2"/>
  <c r="AD52" i="2"/>
  <c r="AE7" i="2"/>
  <c r="AE15" i="2"/>
  <c r="AE23" i="2"/>
  <c r="AE31" i="2"/>
  <c r="AE39" i="2"/>
  <c r="AE47" i="2"/>
  <c r="AD11" i="2"/>
  <c r="AD23" i="2"/>
  <c r="AD35" i="2"/>
  <c r="AD47" i="2"/>
  <c r="AE10" i="2"/>
  <c r="AE22" i="2"/>
  <c r="AE34" i="2"/>
  <c r="AE46" i="2"/>
  <c r="AD6" i="2"/>
  <c r="AD18" i="2"/>
  <c r="AD30" i="2"/>
  <c r="AD42" i="2"/>
  <c r="AD54" i="2"/>
  <c r="AE13" i="2"/>
  <c r="AE25" i="2"/>
  <c r="AE37" i="2"/>
  <c r="AE49" i="2"/>
  <c r="AD9" i="2"/>
  <c r="AD13" i="2"/>
  <c r="AD17" i="2"/>
  <c r="AD21" i="2"/>
  <c r="AD25" i="2"/>
  <c r="AD29" i="2"/>
  <c r="AD33" i="2"/>
  <c r="AD37" i="2"/>
  <c r="AD41" i="2"/>
  <c r="AD45" i="2"/>
  <c r="AD49" i="2"/>
  <c r="AD53" i="2"/>
  <c r="AD7" i="2"/>
  <c r="AD19" i="2"/>
  <c r="AD31" i="2"/>
  <c r="AD43" i="2"/>
  <c r="AE6" i="2"/>
  <c r="AE18" i="2"/>
  <c r="AE30" i="2"/>
  <c r="AE42" i="2"/>
  <c r="AE54" i="2"/>
  <c r="AD14" i="2"/>
  <c r="AD26" i="2"/>
  <c r="AD38" i="2"/>
  <c r="AD50" i="2"/>
  <c r="AE21" i="2"/>
  <c r="AE33" i="2"/>
  <c r="AE45" i="2"/>
  <c r="AC13" i="2"/>
  <c r="AC21" i="2"/>
  <c r="AC29" i="2"/>
  <c r="AC37" i="2"/>
  <c r="AC45" i="2"/>
  <c r="AC53" i="2"/>
  <c r="AC42" i="2"/>
  <c r="AC25" i="2"/>
  <c r="AC8" i="2"/>
  <c r="AC40" i="2"/>
  <c r="AC23" i="2"/>
  <c r="AC12" i="2"/>
  <c r="AC20" i="2"/>
  <c r="AC28" i="2"/>
  <c r="AC36" i="2"/>
  <c r="AC44" i="2"/>
  <c r="AC52" i="2"/>
  <c r="AC10" i="2"/>
  <c r="AC18" i="2"/>
  <c r="AC26" i="2"/>
  <c r="AC50" i="2"/>
  <c r="AC33" i="2"/>
  <c r="AC16" i="2"/>
  <c r="AC48" i="2"/>
  <c r="AC31" i="2"/>
  <c r="AC11" i="2"/>
  <c r="AC19" i="2"/>
  <c r="AC27" i="2"/>
  <c r="AC35" i="2"/>
  <c r="AC43" i="2"/>
  <c r="AC51" i="2"/>
  <c r="AC34" i="2"/>
  <c r="AC17" i="2"/>
  <c r="AC49" i="2"/>
  <c r="AC32" i="2"/>
  <c r="AC15" i="2"/>
  <c r="AC47" i="2"/>
  <c r="AC6" i="2"/>
  <c r="AC14" i="2"/>
  <c r="AC22" i="2"/>
  <c r="AC30" i="2"/>
  <c r="AC38" i="2"/>
  <c r="AC46" i="2"/>
  <c r="AC54" i="2"/>
  <c r="AC9" i="2"/>
  <c r="AC41" i="2"/>
  <c r="AC24" i="2"/>
  <c r="AC7" i="2"/>
  <c r="AC39" i="2"/>
  <c r="AB53" i="2"/>
  <c r="AB45" i="2"/>
  <c r="AB37" i="2"/>
  <c r="AB29" i="2"/>
  <c r="AB21" i="2"/>
  <c r="AB13" i="2"/>
  <c r="U27" i="2"/>
  <c r="W20" i="2"/>
  <c r="V20" i="2"/>
  <c r="T27" i="2"/>
  <c r="AB48" i="2"/>
  <c r="AB16" i="2"/>
  <c r="V23" i="2"/>
  <c r="AB41" i="2"/>
  <c r="AB9" i="2"/>
  <c r="U23" i="2"/>
  <c r="AB34" i="2"/>
  <c r="T20" i="2"/>
  <c r="T24" i="2"/>
  <c r="AB51" i="2"/>
  <c r="AB19" i="2"/>
  <c r="V26" i="2"/>
  <c r="AB54" i="2"/>
  <c r="AB46" i="2"/>
  <c r="AB38" i="2"/>
  <c r="AB30" i="2"/>
  <c r="AB22" i="2"/>
  <c r="AB14" i="2"/>
  <c r="AB6" i="2"/>
  <c r="U31" i="2"/>
  <c r="W21" i="2"/>
  <c r="V21" i="2"/>
  <c r="U20" i="2"/>
  <c r="V19" i="2"/>
  <c r="V22" i="2"/>
  <c r="T21" i="2"/>
  <c r="AB24" i="2"/>
  <c r="U33" i="2"/>
  <c r="T22" i="2"/>
  <c r="AB49" i="2"/>
  <c r="AB17" i="2"/>
  <c r="V24" i="2"/>
  <c r="AB26" i="2"/>
  <c r="W25" i="2"/>
  <c r="AB43" i="2"/>
  <c r="AB11" i="2"/>
  <c r="U25" i="2"/>
  <c r="AB47" i="2"/>
  <c r="AB39" i="2"/>
  <c r="AB31" i="2"/>
  <c r="AB23" i="2"/>
  <c r="AB15" i="2"/>
  <c r="AB7" i="2"/>
  <c r="U32" i="2"/>
  <c r="W22" i="2"/>
  <c r="U21" i="2"/>
  <c r="AB40" i="2"/>
  <c r="AB8" i="2"/>
  <c r="U22" i="2"/>
  <c r="AB25" i="2"/>
  <c r="W24" i="2"/>
  <c r="AB42" i="2"/>
  <c r="AB10" i="2"/>
  <c r="U24" i="2"/>
  <c r="AB27" i="2"/>
  <c r="W26" i="2"/>
  <c r="AB52" i="2"/>
  <c r="AB44" i="2"/>
  <c r="AB36" i="2"/>
  <c r="AB28" i="2"/>
  <c r="AB20" i="2"/>
  <c r="AB12" i="2"/>
  <c r="W27" i="2"/>
  <c r="V27" i="2"/>
  <c r="U26" i="2"/>
  <c r="T26" i="2"/>
  <c r="AB32" i="2"/>
  <c r="W23" i="2"/>
  <c r="AB33" i="2"/>
  <c r="U34" i="2"/>
  <c r="T23" i="2"/>
  <c r="AB50" i="2"/>
  <c r="AB18" i="2"/>
  <c r="V25" i="2"/>
  <c r="AB35" i="2"/>
  <c r="T25" i="2"/>
  <c r="R167" i="2"/>
  <c r="R159" i="2"/>
  <c r="R151" i="2"/>
  <c r="R143" i="2"/>
  <c r="R135" i="2"/>
  <c r="R127" i="2"/>
  <c r="R119" i="2"/>
  <c r="R111" i="2"/>
  <c r="R103" i="2"/>
  <c r="R95" i="2"/>
  <c r="R87" i="2"/>
  <c r="R79" i="2"/>
  <c r="R71" i="2"/>
  <c r="R63" i="2"/>
  <c r="R55" i="2"/>
  <c r="R47" i="2"/>
  <c r="R39" i="2"/>
  <c r="R31" i="2"/>
  <c r="R23" i="2"/>
  <c r="R15" i="2"/>
  <c r="R7" i="2"/>
  <c r="Q169" i="2"/>
  <c r="Q161" i="2"/>
  <c r="Q153" i="2"/>
  <c r="Q145" i="2"/>
  <c r="Q137" i="2"/>
  <c r="Q129" i="2"/>
  <c r="Q121" i="2"/>
  <c r="Q113" i="2"/>
  <c r="Q105" i="2"/>
  <c r="Q97" i="2"/>
  <c r="Q89" i="2"/>
  <c r="Q81" i="2"/>
  <c r="Q73" i="2"/>
  <c r="Q65" i="2"/>
  <c r="Q57" i="2"/>
  <c r="Q49" i="2"/>
  <c r="Q41" i="2"/>
  <c r="Q33" i="2"/>
  <c r="Q25" i="2"/>
  <c r="Q17" i="2"/>
  <c r="Q9" i="2"/>
  <c r="P171" i="2"/>
  <c r="P163" i="2"/>
  <c r="P155" i="2"/>
  <c r="P147" i="2"/>
  <c r="P139" i="2"/>
  <c r="P131" i="2"/>
  <c r="P123" i="2"/>
  <c r="P115" i="2"/>
  <c r="P107" i="2"/>
  <c r="P99" i="2"/>
  <c r="P91" i="2"/>
  <c r="P83" i="2"/>
  <c r="P75" i="2"/>
  <c r="P67" i="2"/>
  <c r="P59" i="2"/>
  <c r="P51" i="2"/>
  <c r="P43" i="2"/>
  <c r="P35" i="2"/>
  <c r="P27" i="2"/>
  <c r="P19" i="2"/>
  <c r="P11" i="2"/>
  <c r="O3" i="2"/>
  <c r="O165" i="2"/>
  <c r="O157" i="2"/>
  <c r="O149" i="2"/>
  <c r="O141" i="2"/>
  <c r="O133" i="2"/>
  <c r="O125" i="2"/>
  <c r="O117" i="2"/>
  <c r="O109" i="2"/>
  <c r="O101" i="2"/>
  <c r="O93" i="2"/>
  <c r="O85" i="2"/>
  <c r="O77" i="2"/>
  <c r="O69" i="2"/>
  <c r="O61" i="2"/>
  <c r="O53" i="2"/>
  <c r="O45" i="2"/>
  <c r="O37" i="2"/>
  <c r="O29" i="2"/>
  <c r="O21" i="2"/>
  <c r="O13" i="2"/>
  <c r="O5" i="2"/>
  <c r="N167" i="2"/>
  <c r="N159" i="2"/>
  <c r="N151" i="2"/>
  <c r="N143" i="2"/>
  <c r="N135" i="2"/>
  <c r="N127" i="2"/>
  <c r="N119" i="2"/>
  <c r="N111" i="2"/>
  <c r="N103" i="2"/>
  <c r="N95" i="2"/>
  <c r="N87" i="2"/>
  <c r="N79" i="2"/>
  <c r="N71" i="2"/>
  <c r="N63" i="2"/>
  <c r="N55" i="2"/>
  <c r="N47" i="2"/>
  <c r="N39" i="2"/>
  <c r="N31" i="2"/>
  <c r="N23" i="2"/>
  <c r="N15" i="2"/>
  <c r="N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L171" i="2"/>
  <c r="L163" i="2"/>
  <c r="L155" i="2"/>
  <c r="L147" i="2"/>
  <c r="L139" i="2"/>
  <c r="L131" i="2"/>
  <c r="L123" i="2"/>
  <c r="L115" i="2"/>
  <c r="L107" i="2"/>
  <c r="L99" i="2"/>
  <c r="L91" i="2"/>
  <c r="L83" i="2"/>
  <c r="L75" i="2"/>
  <c r="L67" i="2"/>
  <c r="L59" i="2"/>
  <c r="L51" i="2"/>
  <c r="L43" i="2"/>
  <c r="L35" i="2"/>
  <c r="L27" i="2"/>
  <c r="L19" i="2"/>
  <c r="L11" i="2"/>
  <c r="K3" i="2"/>
  <c r="R146" i="2"/>
  <c r="R114" i="2"/>
  <c r="R82" i="2"/>
  <c r="R50" i="2"/>
  <c r="R18" i="2"/>
  <c r="Q156" i="2"/>
  <c r="Q124" i="2"/>
  <c r="Q92" i="2"/>
  <c r="Q60" i="2"/>
  <c r="Q28" i="2"/>
  <c r="P166" i="2"/>
  <c r="P134" i="2"/>
  <c r="P102" i="2"/>
  <c r="P70" i="2"/>
  <c r="P38" i="2"/>
  <c r="P6" i="2"/>
  <c r="O144" i="2"/>
  <c r="O112" i="2"/>
  <c r="O80" i="2"/>
  <c r="O48" i="2"/>
  <c r="O16" i="2"/>
  <c r="N154" i="2"/>
  <c r="N122" i="2"/>
  <c r="N90" i="2"/>
  <c r="N58" i="2"/>
  <c r="N26" i="2"/>
  <c r="M164" i="2"/>
  <c r="M132" i="2"/>
  <c r="M100" i="2"/>
  <c r="M68" i="2"/>
  <c r="M36" i="2"/>
  <c r="M4" i="2"/>
  <c r="L142" i="2"/>
  <c r="L110" i="2"/>
  <c r="L78" i="2"/>
  <c r="L46" i="2"/>
  <c r="L14" i="2"/>
  <c r="R147" i="2"/>
  <c r="R123" i="2"/>
  <c r="R99" i="2"/>
  <c r="R67" i="2"/>
  <c r="R35" i="2"/>
  <c r="Q3" i="2"/>
  <c r="Q141" i="2"/>
  <c r="Q109" i="2"/>
  <c r="Q77" i="2"/>
  <c r="Q45" i="2"/>
  <c r="Q13" i="2"/>
  <c r="P151" i="2"/>
  <c r="P119" i="2"/>
  <c r="P87" i="2"/>
  <c r="P55" i="2"/>
  <c r="P23" i="2"/>
  <c r="O161" i="2"/>
  <c r="O129" i="2"/>
  <c r="O97" i="2"/>
  <c r="O65" i="2"/>
  <c r="O33" i="2"/>
  <c r="N171" i="2"/>
  <c r="N139" i="2"/>
  <c r="N107" i="2"/>
  <c r="N75" i="2"/>
  <c r="N43" i="2"/>
  <c r="N11" i="2"/>
  <c r="M149" i="2"/>
  <c r="M117" i="2"/>
  <c r="M85" i="2"/>
  <c r="M53" i="2"/>
  <c r="M21" i="2"/>
  <c r="L159" i="2"/>
  <c r="L127" i="2"/>
  <c r="L95" i="2"/>
  <c r="L63" i="2"/>
  <c r="L31" i="2"/>
  <c r="R172" i="2"/>
  <c r="R140" i="2"/>
  <c r="R108" i="2"/>
  <c r="R76" i="2"/>
  <c r="R44" i="2"/>
  <c r="R12" i="2"/>
  <c r="Q150" i="2"/>
  <c r="Q118" i="2"/>
  <c r="Q86" i="2"/>
  <c r="Q54" i="2"/>
  <c r="Q22" i="2"/>
  <c r="P160" i="2"/>
  <c r="P128" i="2"/>
  <c r="P96" i="2"/>
  <c r="P64" i="2"/>
  <c r="P24" i="2"/>
  <c r="O162" i="2"/>
  <c r="O130" i="2"/>
  <c r="O98" i="2"/>
  <c r="O66" i="2"/>
  <c r="O34" i="2"/>
  <c r="N172" i="2"/>
  <c r="N140" i="2"/>
  <c r="N100" i="2"/>
  <c r="N68" i="2"/>
  <c r="N36" i="2"/>
  <c r="N4" i="2"/>
  <c r="M142" i="2"/>
  <c r="M110" i="2"/>
  <c r="M78" i="2"/>
  <c r="M46" i="2"/>
  <c r="M14" i="2"/>
  <c r="R168" i="2"/>
  <c r="R160" i="2"/>
  <c r="R152" i="2"/>
  <c r="R144" i="2"/>
  <c r="R136" i="2"/>
  <c r="R128" i="2"/>
  <c r="R120" i="2"/>
  <c r="R112" i="2"/>
  <c r="R104" i="2"/>
  <c r="R96" i="2"/>
  <c r="R88" i="2"/>
  <c r="R80" i="2"/>
  <c r="R72" i="2"/>
  <c r="R64" i="2"/>
  <c r="R56" i="2"/>
  <c r="R48" i="2"/>
  <c r="R40" i="2"/>
  <c r="R32" i="2"/>
  <c r="R24" i="2"/>
  <c r="R16" i="2"/>
  <c r="R8" i="2"/>
  <c r="Q170" i="2"/>
  <c r="Q162" i="2"/>
  <c r="Q154" i="2"/>
  <c r="Q146" i="2"/>
  <c r="Q138" i="2"/>
  <c r="Q130" i="2"/>
  <c r="Q122" i="2"/>
  <c r="Q114" i="2"/>
  <c r="Q106" i="2"/>
  <c r="Q98" i="2"/>
  <c r="Q90" i="2"/>
  <c r="Q82" i="2"/>
  <c r="Q74" i="2"/>
  <c r="Q66" i="2"/>
  <c r="Q58" i="2"/>
  <c r="Q50" i="2"/>
  <c r="Q42" i="2"/>
  <c r="Q34" i="2"/>
  <c r="Q26" i="2"/>
  <c r="Q18" i="2"/>
  <c r="Q10" i="2"/>
  <c r="P172" i="2"/>
  <c r="P164" i="2"/>
  <c r="P156" i="2"/>
  <c r="P148" i="2"/>
  <c r="P140" i="2"/>
  <c r="P132" i="2"/>
  <c r="P124" i="2"/>
  <c r="P116" i="2"/>
  <c r="P108" i="2"/>
  <c r="P100" i="2"/>
  <c r="P92" i="2"/>
  <c r="P84" i="2"/>
  <c r="P76" i="2"/>
  <c r="P68" i="2"/>
  <c r="P60" i="2"/>
  <c r="P52" i="2"/>
  <c r="P44" i="2"/>
  <c r="P36" i="2"/>
  <c r="P28" i="2"/>
  <c r="P20" i="2"/>
  <c r="P12" i="2"/>
  <c r="P4" i="2"/>
  <c r="O166" i="2"/>
  <c r="O158" i="2"/>
  <c r="O150" i="2"/>
  <c r="O142" i="2"/>
  <c r="O134" i="2"/>
  <c r="O126" i="2"/>
  <c r="O118" i="2"/>
  <c r="O110" i="2"/>
  <c r="O102" i="2"/>
  <c r="O94" i="2"/>
  <c r="O86" i="2"/>
  <c r="O78" i="2"/>
  <c r="O70" i="2"/>
  <c r="O62" i="2"/>
  <c r="O54" i="2"/>
  <c r="O46" i="2"/>
  <c r="O38" i="2"/>
  <c r="O30" i="2"/>
  <c r="O22" i="2"/>
  <c r="O14" i="2"/>
  <c r="O6" i="2"/>
  <c r="N168" i="2"/>
  <c r="N160" i="2"/>
  <c r="N152" i="2"/>
  <c r="N144" i="2"/>
  <c r="N136" i="2"/>
  <c r="N128" i="2"/>
  <c r="N120" i="2"/>
  <c r="N112" i="2"/>
  <c r="N104" i="2"/>
  <c r="N96" i="2"/>
  <c r="N88" i="2"/>
  <c r="N80" i="2"/>
  <c r="N72" i="2"/>
  <c r="N64" i="2"/>
  <c r="N56" i="2"/>
  <c r="N48" i="2"/>
  <c r="N40" i="2"/>
  <c r="N32" i="2"/>
  <c r="N24" i="2"/>
  <c r="N16" i="2"/>
  <c r="N8" i="2"/>
  <c r="M170" i="2"/>
  <c r="M162" i="2"/>
  <c r="M154" i="2"/>
  <c r="M146" i="2"/>
  <c r="M138" i="2"/>
  <c r="M130" i="2"/>
  <c r="M122" i="2"/>
  <c r="M114" i="2"/>
  <c r="M106" i="2"/>
  <c r="M98" i="2"/>
  <c r="M90" i="2"/>
  <c r="M82" i="2"/>
  <c r="M74" i="2"/>
  <c r="M66" i="2"/>
  <c r="M58" i="2"/>
  <c r="M50" i="2"/>
  <c r="M42" i="2"/>
  <c r="M34" i="2"/>
  <c r="M26" i="2"/>
  <c r="M18" i="2"/>
  <c r="M10" i="2"/>
  <c r="L172" i="2"/>
  <c r="L164" i="2"/>
  <c r="L156" i="2"/>
  <c r="L148" i="2"/>
  <c r="L140" i="2"/>
  <c r="L132" i="2"/>
  <c r="L124" i="2"/>
  <c r="L116" i="2"/>
  <c r="L108" i="2"/>
  <c r="L100" i="2"/>
  <c r="L92" i="2"/>
  <c r="L84" i="2"/>
  <c r="L76" i="2"/>
  <c r="L68" i="2"/>
  <c r="L60" i="2"/>
  <c r="L52" i="2"/>
  <c r="L44" i="2"/>
  <c r="L36" i="2"/>
  <c r="L28" i="2"/>
  <c r="L20" i="2"/>
  <c r="L12" i="2"/>
  <c r="L3" i="2"/>
  <c r="R154" i="2"/>
  <c r="R122" i="2"/>
  <c r="R90" i="2"/>
  <c r="R58" i="2"/>
  <c r="R26" i="2"/>
  <c r="Q164" i="2"/>
  <c r="Q132" i="2"/>
  <c r="Q100" i="2"/>
  <c r="Q68" i="2"/>
  <c r="Q36" i="2"/>
  <c r="Q12" i="2"/>
  <c r="P150" i="2"/>
  <c r="P118" i="2"/>
  <c r="P86" i="2"/>
  <c r="P62" i="2"/>
  <c r="P30" i="2"/>
  <c r="O168" i="2"/>
  <c r="O136" i="2"/>
  <c r="O104" i="2"/>
  <c r="O72" i="2"/>
  <c r="O40" i="2"/>
  <c r="O8" i="2"/>
  <c r="N146" i="2"/>
  <c r="N114" i="2"/>
  <c r="N82" i="2"/>
  <c r="N50" i="2"/>
  <c r="N18" i="2"/>
  <c r="M156" i="2"/>
  <c r="M124" i="2"/>
  <c r="M92" i="2"/>
  <c r="M60" i="2"/>
  <c r="M28" i="2"/>
  <c r="L166" i="2"/>
  <c r="L134" i="2"/>
  <c r="L102" i="2"/>
  <c r="L70" i="2"/>
  <c r="L38" i="2"/>
  <c r="L6" i="2"/>
  <c r="R163" i="2"/>
  <c r="R115" i="2"/>
  <c r="R83" i="2"/>
  <c r="R51" i="2"/>
  <c r="R19" i="2"/>
  <c r="Q157" i="2"/>
  <c r="Q125" i="2"/>
  <c r="Q93" i="2"/>
  <c r="Q61" i="2"/>
  <c r="Q29" i="2"/>
  <c r="P167" i="2"/>
  <c r="P135" i="2"/>
  <c r="P103" i="2"/>
  <c r="P71" i="2"/>
  <c r="P39" i="2"/>
  <c r="P7" i="2"/>
  <c r="O145" i="2"/>
  <c r="O113" i="2"/>
  <c r="O81" i="2"/>
  <c r="O49" i="2"/>
  <c r="O17" i="2"/>
  <c r="N155" i="2"/>
  <c r="N123" i="2"/>
  <c r="N91" i="2"/>
  <c r="N59" i="2"/>
  <c r="N27" i="2"/>
  <c r="M165" i="2"/>
  <c r="M133" i="2"/>
  <c r="M101" i="2"/>
  <c r="M69" i="2"/>
  <c r="M37" i="2"/>
  <c r="M5" i="2"/>
  <c r="L143" i="2"/>
  <c r="L111" i="2"/>
  <c r="L87" i="2"/>
  <c r="L55" i="2"/>
  <c r="L23" i="2"/>
  <c r="R164" i="2"/>
  <c r="R116" i="2"/>
  <c r="R84" i="2"/>
  <c r="R52" i="2"/>
  <c r="R20" i="2"/>
  <c r="Q158" i="2"/>
  <c r="Q126" i="2"/>
  <c r="Q94" i="2"/>
  <c r="Q62" i="2"/>
  <c r="Q30" i="2"/>
  <c r="P168" i="2"/>
  <c r="P136" i="2"/>
  <c r="P104" i="2"/>
  <c r="P72" i="2"/>
  <c r="P40" i="2"/>
  <c r="P8" i="2"/>
  <c r="O146" i="2"/>
  <c r="O114" i="2"/>
  <c r="O82" i="2"/>
  <c r="O50" i="2"/>
  <c r="O18" i="2"/>
  <c r="N156" i="2"/>
  <c r="N132" i="2"/>
  <c r="N108" i="2"/>
  <c r="N76" i="2"/>
  <c r="N44" i="2"/>
  <c r="N12" i="2"/>
  <c r="M150" i="2"/>
  <c r="M118" i="2"/>
  <c r="M86" i="2"/>
  <c r="M54" i="2"/>
  <c r="M22" i="2"/>
  <c r="R169" i="2"/>
  <c r="R161" i="2"/>
  <c r="R153" i="2"/>
  <c r="R145" i="2"/>
  <c r="R137" i="2"/>
  <c r="R129" i="2"/>
  <c r="R121" i="2"/>
  <c r="R113" i="2"/>
  <c r="R105" i="2"/>
  <c r="R97" i="2"/>
  <c r="R89" i="2"/>
  <c r="R81" i="2"/>
  <c r="R73" i="2"/>
  <c r="R65" i="2"/>
  <c r="R57" i="2"/>
  <c r="R49" i="2"/>
  <c r="R41" i="2"/>
  <c r="R33" i="2"/>
  <c r="R25" i="2"/>
  <c r="R17" i="2"/>
  <c r="R9" i="2"/>
  <c r="Q171" i="2"/>
  <c r="Q163" i="2"/>
  <c r="Q155" i="2"/>
  <c r="Q147" i="2"/>
  <c r="Q139" i="2"/>
  <c r="Q131" i="2"/>
  <c r="Q123" i="2"/>
  <c r="Q115" i="2"/>
  <c r="Q107" i="2"/>
  <c r="Q99" i="2"/>
  <c r="Q91" i="2"/>
  <c r="Q83" i="2"/>
  <c r="Q75" i="2"/>
  <c r="Q67" i="2"/>
  <c r="Q59" i="2"/>
  <c r="Q51" i="2"/>
  <c r="Q43" i="2"/>
  <c r="Q35" i="2"/>
  <c r="Q27" i="2"/>
  <c r="Q19" i="2"/>
  <c r="Q11" i="2"/>
  <c r="P3" i="2"/>
  <c r="P165" i="2"/>
  <c r="P157" i="2"/>
  <c r="P149" i="2"/>
  <c r="P141" i="2"/>
  <c r="P133" i="2"/>
  <c r="P125" i="2"/>
  <c r="P117" i="2"/>
  <c r="P109" i="2"/>
  <c r="P101" i="2"/>
  <c r="P93" i="2"/>
  <c r="P85" i="2"/>
  <c r="P77" i="2"/>
  <c r="P69" i="2"/>
  <c r="P61" i="2"/>
  <c r="P53" i="2"/>
  <c r="P45" i="2"/>
  <c r="P37" i="2"/>
  <c r="P29" i="2"/>
  <c r="P21" i="2"/>
  <c r="P13" i="2"/>
  <c r="P5" i="2"/>
  <c r="O167" i="2"/>
  <c r="O159" i="2"/>
  <c r="O151" i="2"/>
  <c r="O143" i="2"/>
  <c r="O135" i="2"/>
  <c r="O127" i="2"/>
  <c r="O119" i="2"/>
  <c r="O111" i="2"/>
  <c r="O103" i="2"/>
  <c r="O95" i="2"/>
  <c r="O87" i="2"/>
  <c r="O79" i="2"/>
  <c r="O71" i="2"/>
  <c r="O63" i="2"/>
  <c r="O55" i="2"/>
  <c r="O47" i="2"/>
  <c r="O39" i="2"/>
  <c r="O31" i="2"/>
  <c r="O23" i="2"/>
  <c r="O15" i="2"/>
  <c r="O7" i="2"/>
  <c r="N169" i="2"/>
  <c r="N161" i="2"/>
  <c r="N153" i="2"/>
  <c r="N145" i="2"/>
  <c r="N137" i="2"/>
  <c r="N129" i="2"/>
  <c r="N121" i="2"/>
  <c r="N113" i="2"/>
  <c r="N105" i="2"/>
  <c r="N97" i="2"/>
  <c r="N89" i="2"/>
  <c r="N81" i="2"/>
  <c r="N73" i="2"/>
  <c r="N65" i="2"/>
  <c r="N57" i="2"/>
  <c r="N49" i="2"/>
  <c r="N41" i="2"/>
  <c r="N33" i="2"/>
  <c r="N25" i="2"/>
  <c r="N17" i="2"/>
  <c r="N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L4" i="2"/>
  <c r="L165" i="2"/>
  <c r="L157" i="2"/>
  <c r="L149" i="2"/>
  <c r="L141" i="2"/>
  <c r="L133" i="2"/>
  <c r="L125" i="2"/>
  <c r="L117" i="2"/>
  <c r="L109" i="2"/>
  <c r="L101" i="2"/>
  <c r="L93" i="2"/>
  <c r="L85" i="2"/>
  <c r="L77" i="2"/>
  <c r="L69" i="2"/>
  <c r="L61" i="2"/>
  <c r="L53" i="2"/>
  <c r="L45" i="2"/>
  <c r="L37" i="2"/>
  <c r="L29" i="2"/>
  <c r="L21" i="2"/>
  <c r="L13" i="2"/>
  <c r="L5" i="2"/>
  <c r="R162" i="2"/>
  <c r="R138" i="2"/>
  <c r="R106" i="2"/>
  <c r="R74" i="2"/>
  <c r="R42" i="2"/>
  <c r="R10" i="2"/>
  <c r="Q148" i="2"/>
  <c r="Q116" i="2"/>
  <c r="Q84" i="2"/>
  <c r="Q52" i="2"/>
  <c r="Q20" i="2"/>
  <c r="P158" i="2"/>
  <c r="P126" i="2"/>
  <c r="P94" i="2"/>
  <c r="P54" i="2"/>
  <c r="P22" i="2"/>
  <c r="O152" i="2"/>
  <c r="O120" i="2"/>
  <c r="O88" i="2"/>
  <c r="O56" i="2"/>
  <c r="O24" i="2"/>
  <c r="N162" i="2"/>
  <c r="N130" i="2"/>
  <c r="N98" i="2"/>
  <c r="N66" i="2"/>
  <c r="N34" i="2"/>
  <c r="M172" i="2"/>
  <c r="M140" i="2"/>
  <c r="M108" i="2"/>
  <c r="M76" i="2"/>
  <c r="M44" i="2"/>
  <c r="M12" i="2"/>
  <c r="L150" i="2"/>
  <c r="L118" i="2"/>
  <c r="L86" i="2"/>
  <c r="L54" i="2"/>
  <c r="L22" i="2"/>
  <c r="R155" i="2"/>
  <c r="R131" i="2"/>
  <c r="R91" i="2"/>
  <c r="R59" i="2"/>
  <c r="R27" i="2"/>
  <c r="Q165" i="2"/>
  <c r="Q133" i="2"/>
  <c r="Q101" i="2"/>
  <c r="Q69" i="2"/>
  <c r="Q37" i="2"/>
  <c r="Q5" i="2"/>
  <c r="P143" i="2"/>
  <c r="P111" i="2"/>
  <c r="P79" i="2"/>
  <c r="P47" i="2"/>
  <c r="P15" i="2"/>
  <c r="O153" i="2"/>
  <c r="O121" i="2"/>
  <c r="O89" i="2"/>
  <c r="O57" i="2"/>
  <c r="O25" i="2"/>
  <c r="N163" i="2"/>
  <c r="N131" i="2"/>
  <c r="N99" i="2"/>
  <c r="N67" i="2"/>
  <c r="N35" i="2"/>
  <c r="M3" i="2"/>
  <c r="M141" i="2"/>
  <c r="M109" i="2"/>
  <c r="M77" i="2"/>
  <c r="M45" i="2"/>
  <c r="M13" i="2"/>
  <c r="L151" i="2"/>
  <c r="L119" i="2"/>
  <c r="L79" i="2"/>
  <c r="L47" i="2"/>
  <c r="L15" i="2"/>
  <c r="R148" i="2"/>
  <c r="R132" i="2"/>
  <c r="R100" i="2"/>
  <c r="R68" i="2"/>
  <c r="R36" i="2"/>
  <c r="R4" i="2"/>
  <c r="Q142" i="2"/>
  <c r="Q110" i="2"/>
  <c r="Q78" i="2"/>
  <c r="Q46" i="2"/>
  <c r="Q14" i="2"/>
  <c r="P152" i="2"/>
  <c r="P120" i="2"/>
  <c r="P88" i="2"/>
  <c r="P48" i="2"/>
  <c r="P16" i="2"/>
  <c r="O154" i="2"/>
  <c r="O122" i="2"/>
  <c r="O90" i="2"/>
  <c r="O58" i="2"/>
  <c r="O26" i="2"/>
  <c r="N164" i="2"/>
  <c r="N124" i="2"/>
  <c r="N92" i="2"/>
  <c r="N60" i="2"/>
  <c r="N28" i="2"/>
  <c r="M166" i="2"/>
  <c r="M134" i="2"/>
  <c r="M102" i="2"/>
  <c r="M70" i="2"/>
  <c r="M38" i="2"/>
  <c r="M6" i="2"/>
  <c r="R166" i="2"/>
  <c r="R158" i="2"/>
  <c r="R150" i="2"/>
  <c r="R142" i="2"/>
  <c r="R134" i="2"/>
  <c r="R126" i="2"/>
  <c r="R118" i="2"/>
  <c r="R110" i="2"/>
  <c r="R102" i="2"/>
  <c r="R94" i="2"/>
  <c r="R86" i="2"/>
  <c r="R78" i="2"/>
  <c r="R70" i="2"/>
  <c r="R62" i="2"/>
  <c r="R54" i="2"/>
  <c r="R46" i="2"/>
  <c r="R38" i="2"/>
  <c r="R30" i="2"/>
  <c r="R22" i="2"/>
  <c r="R14" i="2"/>
  <c r="R6" i="2"/>
  <c r="Q168" i="2"/>
  <c r="Q160" i="2"/>
  <c r="Q152" i="2"/>
  <c r="Q144" i="2"/>
  <c r="Q136" i="2"/>
  <c r="Q128" i="2"/>
  <c r="Q120" i="2"/>
  <c r="Q112" i="2"/>
  <c r="Q104" i="2"/>
  <c r="Q96" i="2"/>
  <c r="Q88" i="2"/>
  <c r="Q80" i="2"/>
  <c r="Q72" i="2"/>
  <c r="Q64" i="2"/>
  <c r="Q56" i="2"/>
  <c r="Q48" i="2"/>
  <c r="Q40" i="2"/>
  <c r="Q32" i="2"/>
  <c r="Q24" i="2"/>
  <c r="Q16" i="2"/>
  <c r="Q8" i="2"/>
  <c r="P170" i="2"/>
  <c r="P162" i="2"/>
  <c r="P154" i="2"/>
  <c r="P146" i="2"/>
  <c r="P138" i="2"/>
  <c r="P130" i="2"/>
  <c r="P122" i="2"/>
  <c r="P114" i="2"/>
  <c r="P106" i="2"/>
  <c r="P98" i="2"/>
  <c r="P90" i="2"/>
  <c r="P82" i="2"/>
  <c r="P74" i="2"/>
  <c r="P66" i="2"/>
  <c r="P58" i="2"/>
  <c r="P50" i="2"/>
  <c r="P42" i="2"/>
  <c r="P34" i="2"/>
  <c r="P26" i="2"/>
  <c r="P18" i="2"/>
  <c r="P10" i="2"/>
  <c r="O172" i="2"/>
  <c r="O164" i="2"/>
  <c r="O156" i="2"/>
  <c r="O148" i="2"/>
  <c r="O140" i="2"/>
  <c r="O132" i="2"/>
  <c r="O124" i="2"/>
  <c r="O116" i="2"/>
  <c r="O108" i="2"/>
  <c r="O100" i="2"/>
  <c r="O92" i="2"/>
  <c r="O84" i="2"/>
  <c r="O76" i="2"/>
  <c r="O68" i="2"/>
  <c r="O60" i="2"/>
  <c r="O52" i="2"/>
  <c r="O44" i="2"/>
  <c r="O36" i="2"/>
  <c r="O28" i="2"/>
  <c r="O20" i="2"/>
  <c r="O12" i="2"/>
  <c r="O4" i="2"/>
  <c r="N166" i="2"/>
  <c r="N158" i="2"/>
  <c r="N150" i="2"/>
  <c r="N142" i="2"/>
  <c r="N134" i="2"/>
  <c r="N126" i="2"/>
  <c r="N118" i="2"/>
  <c r="N110" i="2"/>
  <c r="N102" i="2"/>
  <c r="N94" i="2"/>
  <c r="N86" i="2"/>
  <c r="N78" i="2"/>
  <c r="N70" i="2"/>
  <c r="N62" i="2"/>
  <c r="N54" i="2"/>
  <c r="N46" i="2"/>
  <c r="N38" i="2"/>
  <c r="N30" i="2"/>
  <c r="N22" i="2"/>
  <c r="N14" i="2"/>
  <c r="N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L170" i="2"/>
  <c r="L162" i="2"/>
  <c r="L154" i="2"/>
  <c r="L146" i="2"/>
  <c r="L138" i="2"/>
  <c r="L130" i="2"/>
  <c r="L122" i="2"/>
  <c r="L114" i="2"/>
  <c r="L106" i="2"/>
  <c r="L98" i="2"/>
  <c r="L90" i="2"/>
  <c r="L82" i="2"/>
  <c r="L74" i="2"/>
  <c r="L66" i="2"/>
  <c r="L58" i="2"/>
  <c r="L50" i="2"/>
  <c r="L42" i="2"/>
  <c r="L34" i="2"/>
  <c r="L26" i="2"/>
  <c r="L18" i="2"/>
  <c r="L10" i="2"/>
  <c r="R170" i="2"/>
  <c r="R130" i="2"/>
  <c r="R98" i="2"/>
  <c r="R66" i="2"/>
  <c r="R34" i="2"/>
  <c r="Q172" i="2"/>
  <c r="Q140" i="2"/>
  <c r="Q108" i="2"/>
  <c r="Q76" i="2"/>
  <c r="Q44" i="2"/>
  <c r="Q4" i="2"/>
  <c r="P142" i="2"/>
  <c r="P110" i="2"/>
  <c r="P78" i="2"/>
  <c r="P46" i="2"/>
  <c r="P14" i="2"/>
  <c r="O160" i="2"/>
  <c r="O128" i="2"/>
  <c r="O96" i="2"/>
  <c r="O64" i="2"/>
  <c r="O32" i="2"/>
  <c r="N170" i="2"/>
  <c r="N138" i="2"/>
  <c r="N106" i="2"/>
  <c r="N74" i="2"/>
  <c r="N42" i="2"/>
  <c r="N10" i="2"/>
  <c r="M148" i="2"/>
  <c r="M116" i="2"/>
  <c r="M84" i="2"/>
  <c r="M52" i="2"/>
  <c r="M20" i="2"/>
  <c r="L158" i="2"/>
  <c r="L126" i="2"/>
  <c r="L94" i="2"/>
  <c r="L62" i="2"/>
  <c r="L30" i="2"/>
  <c r="R171" i="2"/>
  <c r="R139" i="2"/>
  <c r="R107" i="2"/>
  <c r="R75" i="2"/>
  <c r="R43" i="2"/>
  <c r="R11" i="2"/>
  <c r="Q149" i="2"/>
  <c r="Q117" i="2"/>
  <c r="Q85" i="2"/>
  <c r="Q53" i="2"/>
  <c r="Q21" i="2"/>
  <c r="P159" i="2"/>
  <c r="P127" i="2"/>
  <c r="P95" i="2"/>
  <c r="P63" i="2"/>
  <c r="P31" i="2"/>
  <c r="O169" i="2"/>
  <c r="O137" i="2"/>
  <c r="O105" i="2"/>
  <c r="O73" i="2"/>
  <c r="O41" i="2"/>
  <c r="O9" i="2"/>
  <c r="N147" i="2"/>
  <c r="N115" i="2"/>
  <c r="N83" i="2"/>
  <c r="N51" i="2"/>
  <c r="N19" i="2"/>
  <c r="M157" i="2"/>
  <c r="M125" i="2"/>
  <c r="M93" i="2"/>
  <c r="M61" i="2"/>
  <c r="M29" i="2"/>
  <c r="L167" i="2"/>
  <c r="L135" i="2"/>
  <c r="L103" i="2"/>
  <c r="L71" i="2"/>
  <c r="L39" i="2"/>
  <c r="L7" i="2"/>
  <c r="R156" i="2"/>
  <c r="R124" i="2"/>
  <c r="R92" i="2"/>
  <c r="R60" i="2"/>
  <c r="R28" i="2"/>
  <c r="Q166" i="2"/>
  <c r="Q134" i="2"/>
  <c r="Q102" i="2"/>
  <c r="Q70" i="2"/>
  <c r="Q38" i="2"/>
  <c r="Q6" i="2"/>
  <c r="P144" i="2"/>
  <c r="P112" i="2"/>
  <c r="P80" i="2"/>
  <c r="P56" i="2"/>
  <c r="P32" i="2"/>
  <c r="O170" i="2"/>
  <c r="O138" i="2"/>
  <c r="O106" i="2"/>
  <c r="O74" i="2"/>
  <c r="O42" i="2"/>
  <c r="O10" i="2"/>
  <c r="N148" i="2"/>
  <c r="N116" i="2"/>
  <c r="N84" i="2"/>
  <c r="N52" i="2"/>
  <c r="N20" i="2"/>
  <c r="M158" i="2"/>
  <c r="M126" i="2"/>
  <c r="M94" i="2"/>
  <c r="M62" i="2"/>
  <c r="M30" i="2"/>
  <c r="R117" i="2"/>
  <c r="R53" i="2"/>
  <c r="Q159" i="2"/>
  <c r="Q95" i="2"/>
  <c r="Q31" i="2"/>
  <c r="P137" i="2"/>
  <c r="P73" i="2"/>
  <c r="P9" i="2"/>
  <c r="O115" i="2"/>
  <c r="O51" i="2"/>
  <c r="N157" i="2"/>
  <c r="N93" i="2"/>
  <c r="N29" i="2"/>
  <c r="M135" i="2"/>
  <c r="M71" i="2"/>
  <c r="M7" i="2"/>
  <c r="L144" i="2"/>
  <c r="L112" i="2"/>
  <c r="L80" i="2"/>
  <c r="L48" i="2"/>
  <c r="L16" i="2"/>
  <c r="R13" i="2"/>
  <c r="Q55" i="2"/>
  <c r="P33" i="2"/>
  <c r="O11" i="2"/>
  <c r="M159" i="2"/>
  <c r="L153" i="2"/>
  <c r="L57" i="2"/>
  <c r="R85" i="2"/>
  <c r="Q63" i="2"/>
  <c r="P41" i="2"/>
  <c r="N125" i="2"/>
  <c r="M103" i="2"/>
  <c r="L96" i="2"/>
  <c r="R29" i="2"/>
  <c r="P113" i="2"/>
  <c r="O27" i="2"/>
  <c r="M111" i="2"/>
  <c r="L97" i="2"/>
  <c r="R101" i="2"/>
  <c r="Q79" i="2"/>
  <c r="O163" i="2"/>
  <c r="N77" i="2"/>
  <c r="L168" i="2"/>
  <c r="L40" i="2"/>
  <c r="R125" i="2"/>
  <c r="R61" i="2"/>
  <c r="Q167" i="2"/>
  <c r="Q103" i="2"/>
  <c r="Q39" i="2"/>
  <c r="P145" i="2"/>
  <c r="P81" i="2"/>
  <c r="P17" i="2"/>
  <c r="O123" i="2"/>
  <c r="O59" i="2"/>
  <c r="N165" i="2"/>
  <c r="N101" i="2"/>
  <c r="N37" i="2"/>
  <c r="M143" i="2"/>
  <c r="M79" i="2"/>
  <c r="M15" i="2"/>
  <c r="L145" i="2"/>
  <c r="L113" i="2"/>
  <c r="L81" i="2"/>
  <c r="L49" i="2"/>
  <c r="L17" i="2"/>
  <c r="R77" i="2"/>
  <c r="P161" i="2"/>
  <c r="O139" i="2"/>
  <c r="N117" i="2"/>
  <c r="M95" i="2"/>
  <c r="L121" i="2"/>
  <c r="L25" i="2"/>
  <c r="R149" i="2"/>
  <c r="P169" i="2"/>
  <c r="O147" i="2"/>
  <c r="N61" i="2"/>
  <c r="M39" i="2"/>
  <c r="L64" i="2"/>
  <c r="R93" i="2"/>
  <c r="Q7" i="2"/>
  <c r="O91" i="2"/>
  <c r="N5" i="2"/>
  <c r="L129" i="2"/>
  <c r="R165" i="2"/>
  <c r="Q15" i="2"/>
  <c r="O99" i="2"/>
  <c r="N13" i="2"/>
  <c r="L136" i="2"/>
  <c r="L8" i="2"/>
  <c r="R133" i="2"/>
  <c r="R69" i="2"/>
  <c r="R5" i="2"/>
  <c r="Q111" i="2"/>
  <c r="Q47" i="2"/>
  <c r="P153" i="2"/>
  <c r="P89" i="2"/>
  <c r="P25" i="2"/>
  <c r="O131" i="2"/>
  <c r="O67" i="2"/>
  <c r="N3" i="2"/>
  <c r="N109" i="2"/>
  <c r="N45" i="2"/>
  <c r="M151" i="2"/>
  <c r="M87" i="2"/>
  <c r="M23" i="2"/>
  <c r="L152" i="2"/>
  <c r="L120" i="2"/>
  <c r="L88" i="2"/>
  <c r="L56" i="2"/>
  <c r="L24" i="2"/>
  <c r="R141" i="2"/>
  <c r="Q119" i="2"/>
  <c r="P97" i="2"/>
  <c r="O75" i="2"/>
  <c r="N53" i="2"/>
  <c r="M31" i="2"/>
  <c r="L89" i="2"/>
  <c r="R21" i="2"/>
  <c r="Q127" i="2"/>
  <c r="P105" i="2"/>
  <c r="O83" i="2"/>
  <c r="M167" i="2"/>
  <c r="L128" i="2"/>
  <c r="R157" i="2"/>
  <c r="Q71" i="2"/>
  <c r="O155" i="2"/>
  <c r="N69" i="2"/>
  <c r="L161" i="2"/>
  <c r="L33" i="2"/>
  <c r="Q143" i="2"/>
  <c r="P57" i="2"/>
  <c r="N141" i="2"/>
  <c r="M55" i="2"/>
  <c r="L72" i="2"/>
  <c r="R3" i="2"/>
  <c r="R109" i="2"/>
  <c r="R45" i="2"/>
  <c r="Q151" i="2"/>
  <c r="Q87" i="2"/>
  <c r="Q23" i="2"/>
  <c r="P129" i="2"/>
  <c r="P65" i="2"/>
  <c r="O171" i="2"/>
  <c r="O107" i="2"/>
  <c r="O43" i="2"/>
  <c r="N149" i="2"/>
  <c r="N85" i="2"/>
  <c r="N21" i="2"/>
  <c r="M127" i="2"/>
  <c r="M63" i="2"/>
  <c r="L169" i="2"/>
  <c r="L137" i="2"/>
  <c r="L105" i="2"/>
  <c r="L73" i="2"/>
  <c r="L41" i="2"/>
  <c r="L9" i="2"/>
  <c r="O19" i="2"/>
  <c r="L160" i="2"/>
  <c r="L32" i="2"/>
  <c r="Q135" i="2"/>
  <c r="P49" i="2"/>
  <c r="N133" i="2"/>
  <c r="M47" i="2"/>
  <c r="L65" i="2"/>
  <c r="R37" i="2"/>
  <c r="P121" i="2"/>
  <c r="O35" i="2"/>
  <c r="M119" i="2"/>
  <c r="L104" i="2"/>
  <c r="K166" i="2"/>
  <c r="K158" i="2"/>
  <c r="K150" i="2"/>
  <c r="K142" i="2"/>
  <c r="K134" i="2"/>
  <c r="K126" i="2"/>
  <c r="K118" i="2"/>
  <c r="K110" i="2"/>
  <c r="K102" i="2"/>
  <c r="K94" i="2"/>
  <c r="K86" i="2"/>
  <c r="K78" i="2"/>
  <c r="K70" i="2"/>
  <c r="K62" i="2"/>
  <c r="K54" i="2"/>
  <c r="K46" i="2"/>
  <c r="K38" i="2"/>
  <c r="K30" i="2"/>
  <c r="K22" i="2"/>
  <c r="K14" i="2"/>
  <c r="K6" i="2"/>
  <c r="I175" i="2"/>
  <c r="I167" i="2"/>
  <c r="I159" i="2"/>
  <c r="I151" i="2"/>
  <c r="I143" i="2"/>
  <c r="I135" i="2"/>
  <c r="I127" i="2"/>
  <c r="I119" i="2"/>
  <c r="I111" i="2"/>
  <c r="I103" i="2"/>
  <c r="I95" i="2"/>
  <c r="I87" i="2"/>
  <c r="I79" i="2"/>
  <c r="I71" i="2"/>
  <c r="I63" i="2"/>
  <c r="I55" i="2"/>
  <c r="I47" i="2"/>
  <c r="I39" i="2"/>
  <c r="I31" i="2"/>
  <c r="I23" i="2"/>
  <c r="I15" i="2"/>
  <c r="I178" i="2"/>
  <c r="H173" i="2"/>
  <c r="H165" i="2"/>
  <c r="H157" i="2"/>
  <c r="H149" i="2"/>
  <c r="H141" i="2"/>
  <c r="H133" i="2"/>
  <c r="H125" i="2"/>
  <c r="H117" i="2"/>
  <c r="H109" i="2"/>
  <c r="H101" i="2"/>
  <c r="H93" i="2"/>
  <c r="H85" i="2"/>
  <c r="H77" i="2"/>
  <c r="H69" i="2"/>
  <c r="H61" i="2"/>
  <c r="H53" i="2"/>
  <c r="H45" i="2"/>
  <c r="H37" i="2"/>
  <c r="H29" i="2"/>
  <c r="H21" i="2"/>
  <c r="H13" i="2"/>
  <c r="G8" i="2"/>
  <c r="B175" i="2"/>
  <c r="B167" i="2"/>
  <c r="B159" i="2"/>
  <c r="B151" i="2"/>
  <c r="B143" i="2"/>
  <c r="B135" i="2"/>
  <c r="B127" i="2"/>
  <c r="B119" i="2"/>
  <c r="B111" i="2"/>
  <c r="B103" i="2"/>
  <c r="B95" i="2"/>
  <c r="B87" i="2"/>
  <c r="B79" i="2"/>
  <c r="B71" i="2"/>
  <c r="B63" i="2"/>
  <c r="B55" i="2"/>
  <c r="B47" i="2"/>
  <c r="B39" i="2"/>
  <c r="B31" i="2"/>
  <c r="B23" i="2"/>
  <c r="B15" i="2"/>
  <c r="B7" i="2"/>
  <c r="G172" i="2"/>
  <c r="G164" i="2"/>
  <c r="G156" i="2"/>
  <c r="G148" i="2"/>
  <c r="G140" i="2"/>
  <c r="G132" i="2"/>
  <c r="G124" i="2"/>
  <c r="G116" i="2"/>
  <c r="G108" i="2"/>
  <c r="G100" i="2"/>
  <c r="G92" i="2"/>
  <c r="G84" i="2"/>
  <c r="G76" i="2"/>
  <c r="G68" i="2"/>
  <c r="G60" i="2"/>
  <c r="G52" i="2"/>
  <c r="G44" i="2"/>
  <c r="G36" i="2"/>
  <c r="G28" i="2"/>
  <c r="G20" i="2"/>
  <c r="G12" i="2"/>
  <c r="F7" i="2"/>
  <c r="F170" i="2"/>
  <c r="F162" i="2"/>
  <c r="F154" i="2"/>
  <c r="F146" i="2"/>
  <c r="F138" i="2"/>
  <c r="F130" i="2"/>
  <c r="F122" i="2"/>
  <c r="F114" i="2"/>
  <c r="F106" i="2"/>
  <c r="F98" i="2"/>
  <c r="F90" i="2"/>
  <c r="F82" i="2"/>
  <c r="F74" i="2"/>
  <c r="F66" i="2"/>
  <c r="F58" i="2"/>
  <c r="F50" i="2"/>
  <c r="F42" i="2"/>
  <c r="F34" i="2"/>
  <c r="F26" i="2"/>
  <c r="F18" i="2"/>
  <c r="F10" i="2"/>
  <c r="E5" i="2"/>
  <c r="E168" i="2"/>
  <c r="E160" i="2"/>
  <c r="E152" i="2"/>
  <c r="E144" i="2"/>
  <c r="E136" i="2"/>
  <c r="E128" i="2"/>
  <c r="E120" i="2"/>
  <c r="E112" i="2"/>
  <c r="E104" i="2"/>
  <c r="E96" i="2"/>
  <c r="E88" i="2"/>
  <c r="E80" i="2"/>
  <c r="E72" i="2"/>
  <c r="E64" i="2"/>
  <c r="E56" i="2"/>
  <c r="E48" i="2"/>
  <c r="E40" i="2"/>
  <c r="E32" i="2"/>
  <c r="E24" i="2"/>
  <c r="E16" i="2"/>
  <c r="E8" i="2"/>
  <c r="D171" i="2"/>
  <c r="D163" i="2"/>
  <c r="D155" i="2"/>
  <c r="D147" i="2"/>
  <c r="D139" i="2"/>
  <c r="D131" i="2"/>
  <c r="D123" i="2"/>
  <c r="D115" i="2"/>
  <c r="D107" i="2"/>
  <c r="D99" i="2"/>
  <c r="D91" i="2"/>
  <c r="D83" i="2"/>
  <c r="D75" i="2"/>
  <c r="D67" i="2"/>
  <c r="D59" i="2"/>
  <c r="D51" i="2"/>
  <c r="D43" i="2"/>
  <c r="D35" i="2"/>
  <c r="D27" i="2"/>
  <c r="D19" i="2"/>
  <c r="D12" i="2"/>
  <c r="F3" i="2"/>
  <c r="D5" i="2"/>
  <c r="C172" i="2"/>
  <c r="C164" i="2"/>
  <c r="C156" i="2"/>
  <c r="C148" i="2"/>
  <c r="C140" i="2"/>
  <c r="C132" i="2"/>
  <c r="C124" i="2"/>
  <c r="C116" i="2"/>
  <c r="C108" i="2"/>
  <c r="C100" i="2"/>
  <c r="C92" i="2"/>
  <c r="C84" i="2"/>
  <c r="C76" i="2"/>
  <c r="C68" i="2"/>
  <c r="C60" i="2"/>
  <c r="C52" i="2"/>
  <c r="C44" i="2"/>
  <c r="C36" i="2"/>
  <c r="C28" i="2"/>
  <c r="C20" i="2"/>
  <c r="C12" i="2"/>
  <c r="K169" i="2"/>
  <c r="K145" i="2"/>
  <c r="K121" i="2"/>
  <c r="K97" i="2"/>
  <c r="K73" i="2"/>
  <c r="K49" i="2"/>
  <c r="K25" i="2"/>
  <c r="I7" i="2"/>
  <c r="I154" i="2"/>
  <c r="I130" i="2"/>
  <c r="I106" i="2"/>
  <c r="I82" i="2"/>
  <c r="I58" i="2"/>
  <c r="I34" i="2"/>
  <c r="I10" i="2"/>
  <c r="H160" i="2"/>
  <c r="H136" i="2"/>
  <c r="H112" i="2"/>
  <c r="H80" i="2"/>
  <c r="H56" i="2"/>
  <c r="H32" i="2"/>
  <c r="H179" i="2"/>
  <c r="B162" i="2"/>
  <c r="B138" i="2"/>
  <c r="B114" i="2"/>
  <c r="B90" i="2"/>
  <c r="B66" i="2"/>
  <c r="B42" i="2"/>
  <c r="B18" i="2"/>
  <c r="G167" i="2"/>
  <c r="G143" i="2"/>
  <c r="G119" i="2"/>
  <c r="G95" i="2"/>
  <c r="G71" i="2"/>
  <c r="G47" i="2"/>
  <c r="G23" i="2"/>
  <c r="F173" i="2"/>
  <c r="F149" i="2"/>
  <c r="F125" i="2"/>
  <c r="F101" i="2"/>
  <c r="F77" i="2"/>
  <c r="F53" i="2"/>
  <c r="F29" i="2"/>
  <c r="K167" i="2"/>
  <c r="K159" i="2"/>
  <c r="K151" i="2"/>
  <c r="K143" i="2"/>
  <c r="K135" i="2"/>
  <c r="K127" i="2"/>
  <c r="K119" i="2"/>
  <c r="K111" i="2"/>
  <c r="K103" i="2"/>
  <c r="K95" i="2"/>
  <c r="K87" i="2"/>
  <c r="K79" i="2"/>
  <c r="K71" i="2"/>
  <c r="K63" i="2"/>
  <c r="K55" i="2"/>
  <c r="K47" i="2"/>
  <c r="K39" i="2"/>
  <c r="K31" i="2"/>
  <c r="K23" i="2"/>
  <c r="K15" i="2"/>
  <c r="K7" i="2"/>
  <c r="I177" i="2"/>
  <c r="I168" i="2"/>
  <c r="I160" i="2"/>
  <c r="I152" i="2"/>
  <c r="I144" i="2"/>
  <c r="I136" i="2"/>
  <c r="I128" i="2"/>
  <c r="I120" i="2"/>
  <c r="I112" i="2"/>
  <c r="I104" i="2"/>
  <c r="I96" i="2"/>
  <c r="I88" i="2"/>
  <c r="I80" i="2"/>
  <c r="I72" i="2"/>
  <c r="I64" i="2"/>
  <c r="I56" i="2"/>
  <c r="I48" i="2"/>
  <c r="I40" i="2"/>
  <c r="I32" i="2"/>
  <c r="I24" i="2"/>
  <c r="I16" i="2"/>
  <c r="I179" i="2"/>
  <c r="H174" i="2"/>
  <c r="H166" i="2"/>
  <c r="H158" i="2"/>
  <c r="H150" i="2"/>
  <c r="H142" i="2"/>
  <c r="H134" i="2"/>
  <c r="H126" i="2"/>
  <c r="H118" i="2"/>
  <c r="H110" i="2"/>
  <c r="H102" i="2"/>
  <c r="H94" i="2"/>
  <c r="H86" i="2"/>
  <c r="H78" i="2"/>
  <c r="H70" i="2"/>
  <c r="H62" i="2"/>
  <c r="H54" i="2"/>
  <c r="H46" i="2"/>
  <c r="H38" i="2"/>
  <c r="H30" i="2"/>
  <c r="H22" i="2"/>
  <c r="H14" i="2"/>
  <c r="G6" i="2"/>
  <c r="B177" i="2"/>
  <c r="B168" i="2"/>
  <c r="B160" i="2"/>
  <c r="B152" i="2"/>
  <c r="B144" i="2"/>
  <c r="B136" i="2"/>
  <c r="B128" i="2"/>
  <c r="B120" i="2"/>
  <c r="B112" i="2"/>
  <c r="B104" i="2"/>
  <c r="B96" i="2"/>
  <c r="B88" i="2"/>
  <c r="B80" i="2"/>
  <c r="B72" i="2"/>
  <c r="B64" i="2"/>
  <c r="B56" i="2"/>
  <c r="B48" i="2"/>
  <c r="B40" i="2"/>
  <c r="B32" i="2"/>
  <c r="B24" i="2"/>
  <c r="B16" i="2"/>
  <c r="B8" i="2"/>
  <c r="G173" i="2"/>
  <c r="G165" i="2"/>
  <c r="G157" i="2"/>
  <c r="G149" i="2"/>
  <c r="G141" i="2"/>
  <c r="G133" i="2"/>
  <c r="G125" i="2"/>
  <c r="G117" i="2"/>
  <c r="G109" i="2"/>
  <c r="G101" i="2"/>
  <c r="G93" i="2"/>
  <c r="G85" i="2"/>
  <c r="G77" i="2"/>
  <c r="G69" i="2"/>
  <c r="G61" i="2"/>
  <c r="G53" i="2"/>
  <c r="G45" i="2"/>
  <c r="G37" i="2"/>
  <c r="G29" i="2"/>
  <c r="G21" i="2"/>
  <c r="G13" i="2"/>
  <c r="F8" i="2"/>
  <c r="F171" i="2"/>
  <c r="F163" i="2"/>
  <c r="F155" i="2"/>
  <c r="F147" i="2"/>
  <c r="F139" i="2"/>
  <c r="F131" i="2"/>
  <c r="F123" i="2"/>
  <c r="F115" i="2"/>
  <c r="F107" i="2"/>
  <c r="F99" i="2"/>
  <c r="F91" i="2"/>
  <c r="F83" i="2"/>
  <c r="F75" i="2"/>
  <c r="F67" i="2"/>
  <c r="F59" i="2"/>
  <c r="F51" i="2"/>
  <c r="F43" i="2"/>
  <c r="F35" i="2"/>
  <c r="F27" i="2"/>
  <c r="F19" i="2"/>
  <c r="F11" i="2"/>
  <c r="E178" i="2"/>
  <c r="E169" i="2"/>
  <c r="E161" i="2"/>
  <c r="E153" i="2"/>
  <c r="E145" i="2"/>
  <c r="E137" i="2"/>
  <c r="E129" i="2"/>
  <c r="E121" i="2"/>
  <c r="E113" i="2"/>
  <c r="E105" i="2"/>
  <c r="E97" i="2"/>
  <c r="E89" i="2"/>
  <c r="E81" i="2"/>
  <c r="E73" i="2"/>
  <c r="E65" i="2"/>
  <c r="E57" i="2"/>
  <c r="E49" i="2"/>
  <c r="E41" i="2"/>
  <c r="E33" i="2"/>
  <c r="E25" i="2"/>
  <c r="E17" i="2"/>
  <c r="E9" i="2"/>
  <c r="D172" i="2"/>
  <c r="D164" i="2"/>
  <c r="D156" i="2"/>
  <c r="D148" i="2"/>
  <c r="D140" i="2"/>
  <c r="D132" i="2"/>
  <c r="D124" i="2"/>
  <c r="D116" i="2"/>
  <c r="D108" i="2"/>
  <c r="D100" i="2"/>
  <c r="D92" i="2"/>
  <c r="D84" i="2"/>
  <c r="D76" i="2"/>
  <c r="D68" i="2"/>
  <c r="D60" i="2"/>
  <c r="D52" i="2"/>
  <c r="D44" i="2"/>
  <c r="D36" i="2"/>
  <c r="D28" i="2"/>
  <c r="D20" i="2"/>
  <c r="D179" i="2"/>
  <c r="E3" i="2"/>
  <c r="D6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K153" i="2"/>
  <c r="K129" i="2"/>
  <c r="K105" i="2"/>
  <c r="K81" i="2"/>
  <c r="K57" i="2"/>
  <c r="K33" i="2"/>
  <c r="K9" i="2"/>
  <c r="I162" i="2"/>
  <c r="I146" i="2"/>
  <c r="I122" i="2"/>
  <c r="I98" i="2"/>
  <c r="I74" i="2"/>
  <c r="I50" i="2"/>
  <c r="I26" i="2"/>
  <c r="H177" i="2"/>
  <c r="H152" i="2"/>
  <c r="H128" i="2"/>
  <c r="H104" i="2"/>
  <c r="H88" i="2"/>
  <c r="H64" i="2"/>
  <c r="H40" i="2"/>
  <c r="H16" i="2"/>
  <c r="B170" i="2"/>
  <c r="B146" i="2"/>
  <c r="B122" i="2"/>
  <c r="B98" i="2"/>
  <c r="B74" i="2"/>
  <c r="B50" i="2"/>
  <c r="B26" i="2"/>
  <c r="G175" i="2"/>
  <c r="G151" i="2"/>
  <c r="G127" i="2"/>
  <c r="G103" i="2"/>
  <c r="G87" i="2"/>
  <c r="G63" i="2"/>
  <c r="G39" i="2"/>
  <c r="G15" i="2"/>
  <c r="F165" i="2"/>
  <c r="F141" i="2"/>
  <c r="F117" i="2"/>
  <c r="F93" i="2"/>
  <c r="F69" i="2"/>
  <c r="F45" i="2"/>
  <c r="F21" i="2"/>
  <c r="K168" i="2"/>
  <c r="K160" i="2"/>
  <c r="K152" i="2"/>
  <c r="K144" i="2"/>
  <c r="K136" i="2"/>
  <c r="K128" i="2"/>
  <c r="K120" i="2"/>
  <c r="K112" i="2"/>
  <c r="K104" i="2"/>
  <c r="K96" i="2"/>
  <c r="K88" i="2"/>
  <c r="K80" i="2"/>
  <c r="K72" i="2"/>
  <c r="K64" i="2"/>
  <c r="K56" i="2"/>
  <c r="K48" i="2"/>
  <c r="K40" i="2"/>
  <c r="K32" i="2"/>
  <c r="K24" i="2"/>
  <c r="K16" i="2"/>
  <c r="K8" i="2"/>
  <c r="I6" i="2"/>
  <c r="I169" i="2"/>
  <c r="I161" i="2"/>
  <c r="I153" i="2"/>
  <c r="I145" i="2"/>
  <c r="I137" i="2"/>
  <c r="I129" i="2"/>
  <c r="I121" i="2"/>
  <c r="I113" i="2"/>
  <c r="I105" i="2"/>
  <c r="I97" i="2"/>
  <c r="I89" i="2"/>
  <c r="I81" i="2"/>
  <c r="I73" i="2"/>
  <c r="I65" i="2"/>
  <c r="I57" i="2"/>
  <c r="I49" i="2"/>
  <c r="I41" i="2"/>
  <c r="I33" i="2"/>
  <c r="I25" i="2"/>
  <c r="I17" i="2"/>
  <c r="I180" i="2"/>
  <c r="H175" i="2"/>
  <c r="H167" i="2"/>
  <c r="H159" i="2"/>
  <c r="H151" i="2"/>
  <c r="H143" i="2"/>
  <c r="H135" i="2"/>
  <c r="H127" i="2"/>
  <c r="H119" i="2"/>
  <c r="H111" i="2"/>
  <c r="H103" i="2"/>
  <c r="H95" i="2"/>
  <c r="H87" i="2"/>
  <c r="H79" i="2"/>
  <c r="H71" i="2"/>
  <c r="H63" i="2"/>
  <c r="H55" i="2"/>
  <c r="H47" i="2"/>
  <c r="H39" i="2"/>
  <c r="H31" i="2"/>
  <c r="H23" i="2"/>
  <c r="H15" i="2"/>
  <c r="H178" i="2"/>
  <c r="B178" i="2"/>
  <c r="B169" i="2"/>
  <c r="B161" i="2"/>
  <c r="B153" i="2"/>
  <c r="B145" i="2"/>
  <c r="B137" i="2"/>
  <c r="B129" i="2"/>
  <c r="B121" i="2"/>
  <c r="B113" i="2"/>
  <c r="B105" i="2"/>
  <c r="B97" i="2"/>
  <c r="B89" i="2"/>
  <c r="B81" i="2"/>
  <c r="B73" i="2"/>
  <c r="B65" i="2"/>
  <c r="B57" i="2"/>
  <c r="B49" i="2"/>
  <c r="B41" i="2"/>
  <c r="B33" i="2"/>
  <c r="B25" i="2"/>
  <c r="B17" i="2"/>
  <c r="B9" i="2"/>
  <c r="G174" i="2"/>
  <c r="G166" i="2"/>
  <c r="G158" i="2"/>
  <c r="G150" i="2"/>
  <c r="G142" i="2"/>
  <c r="G134" i="2"/>
  <c r="G126" i="2"/>
  <c r="G118" i="2"/>
  <c r="G110" i="2"/>
  <c r="G102" i="2"/>
  <c r="G94" i="2"/>
  <c r="G86" i="2"/>
  <c r="G78" i="2"/>
  <c r="G70" i="2"/>
  <c r="G62" i="2"/>
  <c r="G54" i="2"/>
  <c r="G46" i="2"/>
  <c r="G38" i="2"/>
  <c r="G30" i="2"/>
  <c r="G22" i="2"/>
  <c r="G14" i="2"/>
  <c r="F5" i="2"/>
  <c r="F172" i="2"/>
  <c r="F164" i="2"/>
  <c r="F156" i="2"/>
  <c r="F148" i="2"/>
  <c r="F140" i="2"/>
  <c r="F132" i="2"/>
  <c r="F124" i="2"/>
  <c r="F116" i="2"/>
  <c r="F108" i="2"/>
  <c r="F100" i="2"/>
  <c r="F92" i="2"/>
  <c r="F84" i="2"/>
  <c r="F76" i="2"/>
  <c r="F68" i="2"/>
  <c r="F60" i="2"/>
  <c r="F52" i="2"/>
  <c r="F44" i="2"/>
  <c r="F36" i="2"/>
  <c r="F28" i="2"/>
  <c r="F20" i="2"/>
  <c r="F12" i="2"/>
  <c r="E179" i="2"/>
  <c r="E170" i="2"/>
  <c r="E162" i="2"/>
  <c r="E154" i="2"/>
  <c r="E146" i="2"/>
  <c r="E138" i="2"/>
  <c r="E130" i="2"/>
  <c r="E122" i="2"/>
  <c r="E114" i="2"/>
  <c r="E106" i="2"/>
  <c r="E98" i="2"/>
  <c r="E90" i="2"/>
  <c r="E82" i="2"/>
  <c r="E74" i="2"/>
  <c r="E66" i="2"/>
  <c r="E58" i="2"/>
  <c r="E50" i="2"/>
  <c r="E42" i="2"/>
  <c r="E34" i="2"/>
  <c r="E26" i="2"/>
  <c r="E18" i="2"/>
  <c r="E10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9" i="2"/>
  <c r="D21" i="2"/>
  <c r="D180" i="2"/>
  <c r="D3" i="2"/>
  <c r="D7" i="2"/>
  <c r="C174" i="2"/>
  <c r="C166" i="2"/>
  <c r="C158" i="2"/>
  <c r="C150" i="2"/>
  <c r="C142" i="2"/>
  <c r="C134" i="2"/>
  <c r="C126" i="2"/>
  <c r="C118" i="2"/>
  <c r="C110" i="2"/>
  <c r="C102" i="2"/>
  <c r="C94" i="2"/>
  <c r="C86" i="2"/>
  <c r="C78" i="2"/>
  <c r="C70" i="2"/>
  <c r="C62" i="2"/>
  <c r="C54" i="2"/>
  <c r="C46" i="2"/>
  <c r="C38" i="2"/>
  <c r="C30" i="2"/>
  <c r="C22" i="2"/>
  <c r="C14" i="2"/>
  <c r="C6" i="2"/>
  <c r="K161" i="2"/>
  <c r="K137" i="2"/>
  <c r="K113" i="2"/>
  <c r="K89" i="2"/>
  <c r="K65" i="2"/>
  <c r="K41" i="2"/>
  <c r="K17" i="2"/>
  <c r="I170" i="2"/>
  <c r="I138" i="2"/>
  <c r="I114" i="2"/>
  <c r="I90" i="2"/>
  <c r="I66" i="2"/>
  <c r="I42" i="2"/>
  <c r="I18" i="2"/>
  <c r="H168" i="2"/>
  <c r="H144" i="2"/>
  <c r="H120" i="2"/>
  <c r="H96" i="2"/>
  <c r="H72" i="2"/>
  <c r="H48" i="2"/>
  <c r="H24" i="2"/>
  <c r="B179" i="2"/>
  <c r="B154" i="2"/>
  <c r="B130" i="2"/>
  <c r="B106" i="2"/>
  <c r="B82" i="2"/>
  <c r="B58" i="2"/>
  <c r="B34" i="2"/>
  <c r="B10" i="2"/>
  <c r="G159" i="2"/>
  <c r="G135" i="2"/>
  <c r="G111" i="2"/>
  <c r="G79" i="2"/>
  <c r="G55" i="2"/>
  <c r="G31" i="2"/>
  <c r="G178" i="2"/>
  <c r="F157" i="2"/>
  <c r="F133" i="2"/>
  <c r="F109" i="2"/>
  <c r="F85" i="2"/>
  <c r="F61" i="2"/>
  <c r="F37" i="2"/>
  <c r="K172" i="2"/>
  <c r="K164" i="2"/>
  <c r="K156" i="2"/>
  <c r="K148" i="2"/>
  <c r="K140" i="2"/>
  <c r="K132" i="2"/>
  <c r="K124" i="2"/>
  <c r="K116" i="2"/>
  <c r="K108" i="2"/>
  <c r="K100" i="2"/>
  <c r="K92" i="2"/>
  <c r="K84" i="2"/>
  <c r="K76" i="2"/>
  <c r="K68" i="2"/>
  <c r="K60" i="2"/>
  <c r="K52" i="2"/>
  <c r="K44" i="2"/>
  <c r="K36" i="2"/>
  <c r="K28" i="2"/>
  <c r="K20" i="2"/>
  <c r="K12" i="2"/>
  <c r="K4" i="2"/>
  <c r="I173" i="2"/>
  <c r="I165" i="2"/>
  <c r="I157" i="2"/>
  <c r="I149" i="2"/>
  <c r="I141" i="2"/>
  <c r="I133" i="2"/>
  <c r="I125" i="2"/>
  <c r="I117" i="2"/>
  <c r="I109" i="2"/>
  <c r="I101" i="2"/>
  <c r="I93" i="2"/>
  <c r="I85" i="2"/>
  <c r="I77" i="2"/>
  <c r="I69" i="2"/>
  <c r="I61" i="2"/>
  <c r="I53" i="2"/>
  <c r="I45" i="2"/>
  <c r="I37" i="2"/>
  <c r="I29" i="2"/>
  <c r="I21" i="2"/>
  <c r="I13" i="2"/>
  <c r="H8" i="2"/>
  <c r="H171" i="2"/>
  <c r="H163" i="2"/>
  <c r="H155" i="2"/>
  <c r="H147" i="2"/>
  <c r="H139" i="2"/>
  <c r="H131" i="2"/>
  <c r="H123" i="2"/>
  <c r="H115" i="2"/>
  <c r="H107" i="2"/>
  <c r="H99" i="2"/>
  <c r="H91" i="2"/>
  <c r="H83" i="2"/>
  <c r="H75" i="2"/>
  <c r="H67" i="2"/>
  <c r="H59" i="2"/>
  <c r="H51" i="2"/>
  <c r="H43" i="2"/>
  <c r="H35" i="2"/>
  <c r="H27" i="2"/>
  <c r="H19" i="2"/>
  <c r="H11" i="2"/>
  <c r="G5" i="2"/>
  <c r="B173" i="2"/>
  <c r="B165" i="2"/>
  <c r="B157" i="2"/>
  <c r="B149" i="2"/>
  <c r="B141" i="2"/>
  <c r="B133" i="2"/>
  <c r="B125" i="2"/>
  <c r="B117" i="2"/>
  <c r="B109" i="2"/>
  <c r="B101" i="2"/>
  <c r="B93" i="2"/>
  <c r="B85" i="2"/>
  <c r="B77" i="2"/>
  <c r="B69" i="2"/>
  <c r="B61" i="2"/>
  <c r="B53" i="2"/>
  <c r="B45" i="2"/>
  <c r="B37" i="2"/>
  <c r="B29" i="2"/>
  <c r="B21" i="2"/>
  <c r="B13" i="2"/>
  <c r="B5" i="2"/>
  <c r="G170" i="2"/>
  <c r="G162" i="2"/>
  <c r="G154" i="2"/>
  <c r="G146" i="2"/>
  <c r="G138" i="2"/>
  <c r="G130" i="2"/>
  <c r="G122" i="2"/>
  <c r="G114" i="2"/>
  <c r="G106" i="2"/>
  <c r="G98" i="2"/>
  <c r="G90" i="2"/>
  <c r="G82" i="2"/>
  <c r="G74" i="2"/>
  <c r="G66" i="2"/>
  <c r="G58" i="2"/>
  <c r="G50" i="2"/>
  <c r="G42" i="2"/>
  <c r="G34" i="2"/>
  <c r="G26" i="2"/>
  <c r="G18" i="2"/>
  <c r="G10" i="2"/>
  <c r="F177" i="2"/>
  <c r="F168" i="2"/>
  <c r="F160" i="2"/>
  <c r="F152" i="2"/>
  <c r="F144" i="2"/>
  <c r="F136" i="2"/>
  <c r="F128" i="2"/>
  <c r="F120" i="2"/>
  <c r="F112" i="2"/>
  <c r="F104" i="2"/>
  <c r="F96" i="2"/>
  <c r="F88" i="2"/>
  <c r="F80" i="2"/>
  <c r="F72" i="2"/>
  <c r="F64" i="2"/>
  <c r="F56" i="2"/>
  <c r="F48" i="2"/>
  <c r="F40" i="2"/>
  <c r="F32" i="2"/>
  <c r="F24" i="2"/>
  <c r="F16" i="2"/>
  <c r="F179" i="2"/>
  <c r="E174" i="2"/>
  <c r="E166" i="2"/>
  <c r="E158" i="2"/>
  <c r="E150" i="2"/>
  <c r="E142" i="2"/>
  <c r="E134" i="2"/>
  <c r="E126" i="2"/>
  <c r="E118" i="2"/>
  <c r="E110" i="2"/>
  <c r="E102" i="2"/>
  <c r="E94" i="2"/>
  <c r="E86" i="2"/>
  <c r="E78" i="2"/>
  <c r="E70" i="2"/>
  <c r="E62" i="2"/>
  <c r="E54" i="2"/>
  <c r="E46" i="2"/>
  <c r="E38" i="2"/>
  <c r="E30" i="2"/>
  <c r="E22" i="2"/>
  <c r="E14" i="2"/>
  <c r="E6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5" i="2"/>
  <c r="D17" i="2"/>
  <c r="D11" i="2"/>
  <c r="H3" i="2"/>
  <c r="C179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K165" i="2"/>
  <c r="K157" i="2"/>
  <c r="K149" i="2"/>
  <c r="K141" i="2"/>
  <c r="K133" i="2"/>
  <c r="K125" i="2"/>
  <c r="K117" i="2"/>
  <c r="K109" i="2"/>
  <c r="K101" i="2"/>
  <c r="K93" i="2"/>
  <c r="K85" i="2"/>
  <c r="K77" i="2"/>
  <c r="K69" i="2"/>
  <c r="K61" i="2"/>
  <c r="K53" i="2"/>
  <c r="K45" i="2"/>
  <c r="K37" i="2"/>
  <c r="K29" i="2"/>
  <c r="K21" i="2"/>
  <c r="K13" i="2"/>
  <c r="K5" i="2"/>
  <c r="I174" i="2"/>
  <c r="I166" i="2"/>
  <c r="I158" i="2"/>
  <c r="I150" i="2"/>
  <c r="I142" i="2"/>
  <c r="I134" i="2"/>
  <c r="I126" i="2"/>
  <c r="I118" i="2"/>
  <c r="I110" i="2"/>
  <c r="I102" i="2"/>
  <c r="I94" i="2"/>
  <c r="I86" i="2"/>
  <c r="I78" i="2"/>
  <c r="I70" i="2"/>
  <c r="I62" i="2"/>
  <c r="I54" i="2"/>
  <c r="I46" i="2"/>
  <c r="I38" i="2"/>
  <c r="I30" i="2"/>
  <c r="I22" i="2"/>
  <c r="I14" i="2"/>
  <c r="H5" i="2"/>
  <c r="H172" i="2"/>
  <c r="H164" i="2"/>
  <c r="H156" i="2"/>
  <c r="H148" i="2"/>
  <c r="H140" i="2"/>
  <c r="H132" i="2"/>
  <c r="H124" i="2"/>
  <c r="H116" i="2"/>
  <c r="H108" i="2"/>
  <c r="H100" i="2"/>
  <c r="H92" i="2"/>
  <c r="H84" i="2"/>
  <c r="H76" i="2"/>
  <c r="H68" i="2"/>
  <c r="H60" i="2"/>
  <c r="K146" i="2"/>
  <c r="K114" i="2"/>
  <c r="K82" i="2"/>
  <c r="K50" i="2"/>
  <c r="K18" i="2"/>
  <c r="I163" i="2"/>
  <c r="I131" i="2"/>
  <c r="I99" i="2"/>
  <c r="I67" i="2"/>
  <c r="I35" i="2"/>
  <c r="H6" i="2"/>
  <c r="H145" i="2"/>
  <c r="H113" i="2"/>
  <c r="H81" i="2"/>
  <c r="H50" i="2"/>
  <c r="H28" i="2"/>
  <c r="H180" i="2"/>
  <c r="B164" i="2"/>
  <c r="B142" i="2"/>
  <c r="B123" i="2"/>
  <c r="B100" i="2"/>
  <c r="B78" i="2"/>
  <c r="B59" i="2"/>
  <c r="B36" i="2"/>
  <c r="B14" i="2"/>
  <c r="G168" i="2"/>
  <c r="G145" i="2"/>
  <c r="G123" i="2"/>
  <c r="G104" i="2"/>
  <c r="G81" i="2"/>
  <c r="G59" i="2"/>
  <c r="G40" i="2"/>
  <c r="G17" i="2"/>
  <c r="F169" i="2"/>
  <c r="F150" i="2"/>
  <c r="F127" i="2"/>
  <c r="F105" i="2"/>
  <c r="F86" i="2"/>
  <c r="F63" i="2"/>
  <c r="F41" i="2"/>
  <c r="F22" i="2"/>
  <c r="E180" i="2"/>
  <c r="E163" i="2"/>
  <c r="E147" i="2"/>
  <c r="E131" i="2"/>
  <c r="E115" i="2"/>
  <c r="E99" i="2"/>
  <c r="E83" i="2"/>
  <c r="E67" i="2"/>
  <c r="E51" i="2"/>
  <c r="E35" i="2"/>
  <c r="E19" i="2"/>
  <c r="D174" i="2"/>
  <c r="D158" i="2"/>
  <c r="D142" i="2"/>
  <c r="D126" i="2"/>
  <c r="D110" i="2"/>
  <c r="D94" i="2"/>
  <c r="D78" i="2"/>
  <c r="D62" i="2"/>
  <c r="D46" i="2"/>
  <c r="D30" i="2"/>
  <c r="D178" i="2"/>
  <c r="D8" i="2"/>
  <c r="C167" i="2"/>
  <c r="C151" i="2"/>
  <c r="C135" i="2"/>
  <c r="C119" i="2"/>
  <c r="C103" i="2"/>
  <c r="C87" i="2"/>
  <c r="C71" i="2"/>
  <c r="C55" i="2"/>
  <c r="C39" i="2"/>
  <c r="C23" i="2"/>
  <c r="C7" i="2"/>
  <c r="K59" i="2"/>
  <c r="I172" i="2"/>
  <c r="I44" i="2"/>
  <c r="H90" i="2"/>
  <c r="B172" i="2"/>
  <c r="B86" i="2"/>
  <c r="G177" i="2"/>
  <c r="G89" i="2"/>
  <c r="F6" i="2"/>
  <c r="F94" i="2"/>
  <c r="F180" i="2"/>
  <c r="E119" i="2"/>
  <c r="E55" i="2"/>
  <c r="D162" i="2"/>
  <c r="D98" i="2"/>
  <c r="D34" i="2"/>
  <c r="C155" i="2"/>
  <c r="C91" i="2"/>
  <c r="C27" i="2"/>
  <c r="K66" i="2"/>
  <c r="K34" i="2"/>
  <c r="I83" i="2"/>
  <c r="H129" i="2"/>
  <c r="H18" i="2"/>
  <c r="B110" i="2"/>
  <c r="B27" i="2"/>
  <c r="G113" i="2"/>
  <c r="G27" i="2"/>
  <c r="F118" i="2"/>
  <c r="F31" i="2"/>
  <c r="E139" i="2"/>
  <c r="E75" i="2"/>
  <c r="E11" i="2"/>
  <c r="D118" i="2"/>
  <c r="D14" i="2"/>
  <c r="C175" i="2"/>
  <c r="C111" i="2"/>
  <c r="C47" i="2"/>
  <c r="K131" i="2"/>
  <c r="K35" i="2"/>
  <c r="I84" i="2"/>
  <c r="H130" i="2"/>
  <c r="H20" i="2"/>
  <c r="B115" i="2"/>
  <c r="B28" i="2"/>
  <c r="G115" i="2"/>
  <c r="G32" i="2"/>
  <c r="F119" i="2"/>
  <c r="F33" i="2"/>
  <c r="E140" i="2"/>
  <c r="E76" i="2"/>
  <c r="E12" i="2"/>
  <c r="D119" i="2"/>
  <c r="D55" i="2"/>
  <c r="C160" i="2"/>
  <c r="C80" i="2"/>
  <c r="C16" i="2"/>
  <c r="K74" i="2"/>
  <c r="I155" i="2"/>
  <c r="I59" i="2"/>
  <c r="H105" i="2"/>
  <c r="B3" i="2"/>
  <c r="B94" i="2"/>
  <c r="B11" i="2"/>
  <c r="G97" i="2"/>
  <c r="G11" i="2"/>
  <c r="F102" i="2"/>
  <c r="F15" i="2"/>
  <c r="E125" i="2"/>
  <c r="E61" i="2"/>
  <c r="D168" i="2"/>
  <c r="D120" i="2"/>
  <c r="D56" i="2"/>
  <c r="C178" i="2"/>
  <c r="C113" i="2"/>
  <c r="C49" i="2"/>
  <c r="K147" i="2"/>
  <c r="K115" i="2"/>
  <c r="K83" i="2"/>
  <c r="K51" i="2"/>
  <c r="K19" i="2"/>
  <c r="I164" i="2"/>
  <c r="I132" i="2"/>
  <c r="I100" i="2"/>
  <c r="I68" i="2"/>
  <c r="I36" i="2"/>
  <c r="H7" i="2"/>
  <c r="H146" i="2"/>
  <c r="H114" i="2"/>
  <c r="H82" i="2"/>
  <c r="H52" i="2"/>
  <c r="H33" i="2"/>
  <c r="H10" i="2"/>
  <c r="B166" i="2"/>
  <c r="B147" i="2"/>
  <c r="B124" i="2"/>
  <c r="B102" i="2"/>
  <c r="B83" i="2"/>
  <c r="B60" i="2"/>
  <c r="B38" i="2"/>
  <c r="B19" i="2"/>
  <c r="G169" i="2"/>
  <c r="G147" i="2"/>
  <c r="G128" i="2"/>
  <c r="G105" i="2"/>
  <c r="G83" i="2"/>
  <c r="G64" i="2"/>
  <c r="G41" i="2"/>
  <c r="G19" i="2"/>
  <c r="F174" i="2"/>
  <c r="F151" i="2"/>
  <c r="F129" i="2"/>
  <c r="F110" i="2"/>
  <c r="F87" i="2"/>
  <c r="F65" i="2"/>
  <c r="F46" i="2"/>
  <c r="F23" i="2"/>
  <c r="E177" i="2"/>
  <c r="E164" i="2"/>
  <c r="E148" i="2"/>
  <c r="E132" i="2"/>
  <c r="E116" i="2"/>
  <c r="E100" i="2"/>
  <c r="E84" i="2"/>
  <c r="E68" i="2"/>
  <c r="E52" i="2"/>
  <c r="E36" i="2"/>
  <c r="E20" i="2"/>
  <c r="D175" i="2"/>
  <c r="D159" i="2"/>
  <c r="D143" i="2"/>
  <c r="D127" i="2"/>
  <c r="D111" i="2"/>
  <c r="D95" i="2"/>
  <c r="D79" i="2"/>
  <c r="D63" i="2"/>
  <c r="D47" i="2"/>
  <c r="D31" i="2"/>
  <c r="D15" i="2"/>
  <c r="D9" i="2"/>
  <c r="C168" i="2"/>
  <c r="C152" i="2"/>
  <c r="C136" i="2"/>
  <c r="C120" i="2"/>
  <c r="C104" i="2"/>
  <c r="C88" i="2"/>
  <c r="C72" i="2"/>
  <c r="C56" i="2"/>
  <c r="C40" i="2"/>
  <c r="C24" i="2"/>
  <c r="C8" i="2"/>
  <c r="K91" i="2"/>
  <c r="I140" i="2"/>
  <c r="I12" i="2"/>
  <c r="H58" i="2"/>
  <c r="B150" i="2"/>
  <c r="B67" i="2"/>
  <c r="G153" i="2"/>
  <c r="G67" i="2"/>
  <c r="F158" i="2"/>
  <c r="F71" i="2"/>
  <c r="E167" i="2"/>
  <c r="E103" i="2"/>
  <c r="E39" i="2"/>
  <c r="D146" i="2"/>
  <c r="D82" i="2"/>
  <c r="D18" i="2"/>
  <c r="C139" i="2"/>
  <c r="C75" i="2"/>
  <c r="C11" i="2"/>
  <c r="K98" i="2"/>
  <c r="I147" i="2"/>
  <c r="I19" i="2"/>
  <c r="H65" i="2"/>
  <c r="B174" i="2"/>
  <c r="B91" i="2"/>
  <c r="B4" i="2"/>
  <c r="G91" i="2"/>
  <c r="G179" i="2"/>
  <c r="F95" i="2"/>
  <c r="F13" i="2"/>
  <c r="E123" i="2"/>
  <c r="E59" i="2"/>
  <c r="D166" i="2"/>
  <c r="D102" i="2"/>
  <c r="D38" i="2"/>
  <c r="C159" i="2"/>
  <c r="C95" i="2"/>
  <c r="C31" i="2"/>
  <c r="K99" i="2"/>
  <c r="I148" i="2"/>
  <c r="I20" i="2"/>
  <c r="H66" i="2"/>
  <c r="B156" i="2"/>
  <c r="B70" i="2"/>
  <c r="G160" i="2"/>
  <c r="G73" i="2"/>
  <c r="F161" i="2"/>
  <c r="F78" i="2"/>
  <c r="E172" i="2"/>
  <c r="E108" i="2"/>
  <c r="E44" i="2"/>
  <c r="D151" i="2"/>
  <c r="D87" i="2"/>
  <c r="D23" i="2"/>
  <c r="C144" i="2"/>
  <c r="C96" i="2"/>
  <c r="C32" i="2"/>
  <c r="K138" i="2"/>
  <c r="I123" i="2"/>
  <c r="H169" i="2"/>
  <c r="H44" i="2"/>
  <c r="B139" i="2"/>
  <c r="B52" i="2"/>
  <c r="G139" i="2"/>
  <c r="G56" i="2"/>
  <c r="F143" i="2"/>
  <c r="F57" i="2"/>
  <c r="E157" i="2"/>
  <c r="E93" i="2"/>
  <c r="E29" i="2"/>
  <c r="D136" i="2"/>
  <c r="D72" i="2"/>
  <c r="D10" i="2"/>
  <c r="C129" i="2"/>
  <c r="C65" i="2"/>
  <c r="K154" i="2"/>
  <c r="K122" i="2"/>
  <c r="K90" i="2"/>
  <c r="K58" i="2"/>
  <c r="K26" i="2"/>
  <c r="I171" i="2"/>
  <c r="I139" i="2"/>
  <c r="I107" i="2"/>
  <c r="I75" i="2"/>
  <c r="I43" i="2"/>
  <c r="I11" i="2"/>
  <c r="H153" i="2"/>
  <c r="H121" i="2"/>
  <c r="H89" i="2"/>
  <c r="H57" i="2"/>
  <c r="H34" i="2"/>
  <c r="H12" i="2"/>
  <c r="B171" i="2"/>
  <c r="B148" i="2"/>
  <c r="B126" i="2"/>
  <c r="B107" i="2"/>
  <c r="B84" i="2"/>
  <c r="B62" i="2"/>
  <c r="B43" i="2"/>
  <c r="B20" i="2"/>
  <c r="G171" i="2"/>
  <c r="G152" i="2"/>
  <c r="G129" i="2"/>
  <c r="G107" i="2"/>
  <c r="G88" i="2"/>
  <c r="G65" i="2"/>
  <c r="G43" i="2"/>
  <c r="G24" i="2"/>
  <c r="F175" i="2"/>
  <c r="F153" i="2"/>
  <c r="F134" i="2"/>
  <c r="F111" i="2"/>
  <c r="F89" i="2"/>
  <c r="F70" i="2"/>
  <c r="F47" i="2"/>
  <c r="F25" i="2"/>
  <c r="F178" i="2"/>
  <c r="E165" i="2"/>
  <c r="E149" i="2"/>
  <c r="E133" i="2"/>
  <c r="E117" i="2"/>
  <c r="E101" i="2"/>
  <c r="E85" i="2"/>
  <c r="E69" i="2"/>
  <c r="E53" i="2"/>
  <c r="E37" i="2"/>
  <c r="E21" i="2"/>
  <c r="D54" i="2"/>
  <c r="D160" i="2"/>
  <c r="D144" i="2"/>
  <c r="D128" i="2"/>
  <c r="D112" i="2"/>
  <c r="D96" i="2"/>
  <c r="D80" i="2"/>
  <c r="D64" i="2"/>
  <c r="D48" i="2"/>
  <c r="D32" i="2"/>
  <c r="D16" i="2"/>
  <c r="I3" i="2"/>
  <c r="C169" i="2"/>
  <c r="C153" i="2"/>
  <c r="C137" i="2"/>
  <c r="C121" i="2"/>
  <c r="C105" i="2"/>
  <c r="C89" i="2"/>
  <c r="C73" i="2"/>
  <c r="C57" i="2"/>
  <c r="C41" i="2"/>
  <c r="C25" i="2"/>
  <c r="C9" i="2"/>
  <c r="K123" i="2"/>
  <c r="I108" i="2"/>
  <c r="H154" i="2"/>
  <c r="H36" i="2"/>
  <c r="B131" i="2"/>
  <c r="B44" i="2"/>
  <c r="G131" i="2"/>
  <c r="G48" i="2"/>
  <c r="F135" i="2"/>
  <c r="F49" i="2"/>
  <c r="E151" i="2"/>
  <c r="E87" i="2"/>
  <c r="E23" i="2"/>
  <c r="D130" i="2"/>
  <c r="D66" i="2"/>
  <c r="G3" i="2"/>
  <c r="C123" i="2"/>
  <c r="C59" i="2"/>
  <c r="K130" i="2"/>
  <c r="I8" i="2"/>
  <c r="I51" i="2"/>
  <c r="H97" i="2"/>
  <c r="B155" i="2"/>
  <c r="B68" i="2"/>
  <c r="G155" i="2"/>
  <c r="G72" i="2"/>
  <c r="F159" i="2"/>
  <c r="F73" i="2"/>
  <c r="E171" i="2"/>
  <c r="E107" i="2"/>
  <c r="E43" i="2"/>
  <c r="D150" i="2"/>
  <c r="D86" i="2"/>
  <c r="D22" i="2"/>
  <c r="C143" i="2"/>
  <c r="C79" i="2"/>
  <c r="C15" i="2"/>
  <c r="K67" i="2"/>
  <c r="I116" i="2"/>
  <c r="H162" i="2"/>
  <c r="H42" i="2"/>
  <c r="B134" i="2"/>
  <c r="B51" i="2"/>
  <c r="G137" i="2"/>
  <c r="G51" i="2"/>
  <c r="F142" i="2"/>
  <c r="F55" i="2"/>
  <c r="E156" i="2"/>
  <c r="E92" i="2"/>
  <c r="E28" i="2"/>
  <c r="D135" i="2"/>
  <c r="D71" i="2"/>
  <c r="D177" i="2"/>
  <c r="C128" i="2"/>
  <c r="C64" i="2"/>
  <c r="K170" i="2"/>
  <c r="K42" i="2"/>
  <c r="I91" i="2"/>
  <c r="H137" i="2"/>
  <c r="H25" i="2"/>
  <c r="B116" i="2"/>
  <c r="B30" i="2"/>
  <c r="G120" i="2"/>
  <c r="G33" i="2"/>
  <c r="F121" i="2"/>
  <c r="F38" i="2"/>
  <c r="E141" i="2"/>
  <c r="E77" i="2"/>
  <c r="E13" i="2"/>
  <c r="D104" i="2"/>
  <c r="D24" i="2"/>
  <c r="C145" i="2"/>
  <c r="C81" i="2"/>
  <c r="C17" i="2"/>
  <c r="K171" i="2"/>
  <c r="K139" i="2"/>
  <c r="K107" i="2"/>
  <c r="K75" i="2"/>
  <c r="K43" i="2"/>
  <c r="K11" i="2"/>
  <c r="I156" i="2"/>
  <c r="I124" i="2"/>
  <c r="I92" i="2"/>
  <c r="I60" i="2"/>
  <c r="I28" i="2"/>
  <c r="H170" i="2"/>
  <c r="H138" i="2"/>
  <c r="H106" i="2"/>
  <c r="H74" i="2"/>
  <c r="H49" i="2"/>
  <c r="H26" i="2"/>
  <c r="G7" i="2"/>
  <c r="B163" i="2"/>
  <c r="B140" i="2"/>
  <c r="B118" i="2"/>
  <c r="B99" i="2"/>
  <c r="B76" i="2"/>
  <c r="B54" i="2"/>
  <c r="B35" i="2"/>
  <c r="B12" i="2"/>
  <c r="G163" i="2"/>
  <c r="G144" i="2"/>
  <c r="G121" i="2"/>
  <c r="G99" i="2"/>
  <c r="G80" i="2"/>
  <c r="G57" i="2"/>
  <c r="G35" i="2"/>
  <c r="G16" i="2"/>
  <c r="F167" i="2"/>
  <c r="F145" i="2"/>
  <c r="F126" i="2"/>
  <c r="F103" i="2"/>
  <c r="F81" i="2"/>
  <c r="F62" i="2"/>
  <c r="F39" i="2"/>
  <c r="F17" i="2"/>
  <c r="E175" i="2"/>
  <c r="E159" i="2"/>
  <c r="E143" i="2"/>
  <c r="E127" i="2"/>
  <c r="E111" i="2"/>
  <c r="E95" i="2"/>
  <c r="E79" i="2"/>
  <c r="E63" i="2"/>
  <c r="E47" i="2"/>
  <c r="E31" i="2"/>
  <c r="E15" i="2"/>
  <c r="D170" i="2"/>
  <c r="D154" i="2"/>
  <c r="D138" i="2"/>
  <c r="D122" i="2"/>
  <c r="D106" i="2"/>
  <c r="D90" i="2"/>
  <c r="D74" i="2"/>
  <c r="D58" i="2"/>
  <c r="D42" i="2"/>
  <c r="D26" i="2"/>
  <c r="D13" i="2"/>
  <c r="C180" i="2"/>
  <c r="C163" i="2"/>
  <c r="C147" i="2"/>
  <c r="C131" i="2"/>
  <c r="C115" i="2"/>
  <c r="C99" i="2"/>
  <c r="C83" i="2"/>
  <c r="C67" i="2"/>
  <c r="C51" i="2"/>
  <c r="C35" i="2"/>
  <c r="C19" i="2"/>
  <c r="K155" i="2"/>
  <c r="K27" i="2"/>
  <c r="I76" i="2"/>
  <c r="H122" i="2"/>
  <c r="H17" i="2"/>
  <c r="B108" i="2"/>
  <c r="B22" i="2"/>
  <c r="G112" i="2"/>
  <c r="G25" i="2"/>
  <c r="F113" i="2"/>
  <c r="F30" i="2"/>
  <c r="E135" i="2"/>
  <c r="E71" i="2"/>
  <c r="E7" i="2"/>
  <c r="D114" i="2"/>
  <c r="D50" i="2"/>
  <c r="C171" i="2"/>
  <c r="C107" i="2"/>
  <c r="C43" i="2"/>
  <c r="K162" i="2"/>
  <c r="I115" i="2"/>
  <c r="H161" i="2"/>
  <c r="H41" i="2"/>
  <c r="B132" i="2"/>
  <c r="B46" i="2"/>
  <c r="G136" i="2"/>
  <c r="G49" i="2"/>
  <c r="F137" i="2"/>
  <c r="F54" i="2"/>
  <c r="E155" i="2"/>
  <c r="E91" i="2"/>
  <c r="E27" i="2"/>
  <c r="D134" i="2"/>
  <c r="D70" i="2"/>
  <c r="C3" i="2"/>
  <c r="C127" i="2"/>
  <c r="C63" i="2"/>
  <c r="K163" i="2"/>
  <c r="I5" i="2"/>
  <c r="I52" i="2"/>
  <c r="H98" i="2"/>
  <c r="B180" i="2"/>
  <c r="B92" i="2"/>
  <c r="B6" i="2"/>
  <c r="G96" i="2"/>
  <c r="G180" i="2"/>
  <c r="F97" i="2"/>
  <c r="F14" i="2"/>
  <c r="E124" i="2"/>
  <c r="E60" i="2"/>
  <c r="D167" i="2"/>
  <c r="D103" i="2"/>
  <c r="D39" i="2"/>
  <c r="C177" i="2"/>
  <c r="C112" i="2"/>
  <c r="C48" i="2"/>
  <c r="K106" i="2"/>
  <c r="K10" i="2"/>
  <c r="I27" i="2"/>
  <c r="H73" i="2"/>
  <c r="B158" i="2"/>
  <c r="B75" i="2"/>
  <c r="G161" i="2"/>
  <c r="G75" i="2"/>
  <c r="F166" i="2"/>
  <c r="F79" i="2"/>
  <c r="E173" i="2"/>
  <c r="E109" i="2"/>
  <c r="E45" i="2"/>
  <c r="D152" i="2"/>
  <c r="D88" i="2"/>
  <c r="D40" i="2"/>
  <c r="C161" i="2"/>
  <c r="C97" i="2"/>
  <c r="C33" i="2"/>
  <c r="G4" i="2"/>
  <c r="H4" i="2"/>
  <c r="C4" i="2"/>
  <c r="F4" i="2"/>
  <c r="I4" i="2"/>
  <c r="D4" i="2"/>
  <c r="E4" i="2"/>
  <c r="F2" i="2"/>
  <c r="W28" i="2" l="1"/>
  <c r="W29" i="2" s="1"/>
</calcChain>
</file>

<file path=xl/sharedStrings.xml><?xml version="1.0" encoding="utf-8"?>
<sst xmlns="http://schemas.openxmlformats.org/spreadsheetml/2006/main" count="2627" uniqueCount="584">
  <si>
    <t>名稱</t>
  </si>
  <si>
    <t>營收比重</t>
  </si>
  <si>
    <t>期別</t>
  </si>
  <si>
    <t>期別(母公司)</t>
  </si>
  <si>
    <t>100.3Q</t>
  </si>
  <si>
    <t>100.2Q</t>
  </si>
  <si>
    <t>100.1Q</t>
  </si>
  <si>
    <t>99.4Q</t>
  </si>
  <si>
    <t>股東權益報酬率</t>
  </si>
  <si>
    <t>每股稅後淨利(元)</t>
  </si>
  <si>
    <t>年度</t>
  </si>
  <si>
    <t>現金股息</t>
  </si>
  <si>
    <t xml:space="preserve"> 長期投資(新增)</t>
  </si>
  <si>
    <t>股票股利</t>
  </si>
  <si>
    <t xml:space="preserve"> 存貨(增)減</t>
  </si>
  <si>
    <t>配息率</t>
  </si>
  <si>
    <t xml:space="preserve"> 應收帳款(增)減</t>
  </si>
  <si>
    <t>再投資比率</t>
  </si>
  <si>
    <t xml:space="preserve"> 應付帳款增(減)</t>
  </si>
  <si>
    <t>每股淨值(元)</t>
  </si>
  <si>
    <t>營業收入淨額</t>
  </si>
  <si>
    <t>營業成本</t>
  </si>
  <si>
    <t>營業毛利</t>
  </si>
  <si>
    <t>聯屬公司間未實現銷貨</t>
  </si>
  <si>
    <t>營業費用</t>
  </si>
  <si>
    <t>營業利益</t>
  </si>
  <si>
    <t xml:space="preserve"> 利息收入</t>
  </si>
  <si>
    <t xml:space="preserve"> 投資收入／股利收入</t>
  </si>
  <si>
    <t xml:space="preserve"> 處分投資利得</t>
  </si>
  <si>
    <t xml:space="preserve"> 投資跌價損失回轉</t>
  </si>
  <si>
    <t xml:space="preserve"> 處分資產利得</t>
  </si>
  <si>
    <t xml:space="preserve"> 存貨跌價損失回轉</t>
  </si>
  <si>
    <t xml:space="preserve"> 兌換盈益</t>
  </si>
  <si>
    <t xml:space="preserve"> 其他收入</t>
  </si>
  <si>
    <t>上市櫃日</t>
  </si>
  <si>
    <t>股本 (億)</t>
  </si>
  <si>
    <t>營業外收入合計</t>
  </si>
  <si>
    <t>董監持股率</t>
  </si>
  <si>
    <t>公司市值(E)</t>
  </si>
  <si>
    <t xml:space="preserve"> 利息支出</t>
  </si>
  <si>
    <t>外資持股率</t>
  </si>
  <si>
    <t>最近毛利率</t>
  </si>
  <si>
    <t xml:space="preserve"> 投資損失</t>
  </si>
  <si>
    <t>目前本益比</t>
  </si>
  <si>
    <t>最近營益率</t>
  </si>
  <si>
    <t xml:space="preserve"> 處分投資損失</t>
  </si>
  <si>
    <t>股價淨值比</t>
  </si>
  <si>
    <t>每人營收(仟)</t>
  </si>
  <si>
    <t xml:space="preserve"> 投資跌價損失</t>
  </si>
  <si>
    <t>負債比</t>
  </si>
  <si>
    <t>每股營收(元)</t>
  </si>
  <si>
    <t xml:space="preserve"> 處分資產損失</t>
  </si>
  <si>
    <t>每股淨值</t>
  </si>
  <si>
    <t>五年ROE</t>
  </si>
  <si>
    <t xml:space="preserve"> 兌換損失</t>
  </si>
  <si>
    <t>六年配息率</t>
  </si>
  <si>
    <t xml:space="preserve"> 資產評價損失</t>
  </si>
  <si>
    <t>合理ROE</t>
  </si>
  <si>
    <t>預估EPS</t>
  </si>
  <si>
    <t xml:space="preserve"> 其他損失</t>
  </si>
  <si>
    <t>合理PER</t>
  </si>
  <si>
    <t>合理價格</t>
  </si>
  <si>
    <t>營業外支出合計</t>
  </si>
  <si>
    <t>Θ 請填入合理ROE及合理PER</t>
  </si>
  <si>
    <t>營業外損益統計</t>
  </si>
  <si>
    <t>董事長</t>
  </si>
  <si>
    <t>稅前淨利</t>
  </si>
  <si>
    <t>發言人</t>
  </si>
  <si>
    <t>所得稅費用</t>
  </si>
  <si>
    <t>公司電話</t>
  </si>
  <si>
    <t>經常利益</t>
  </si>
  <si>
    <t>公司網址</t>
  </si>
  <si>
    <t>停業部門損益</t>
  </si>
  <si>
    <t>非常項目</t>
  </si>
  <si>
    <t>累計影響數</t>
  </si>
  <si>
    <t>本期稅後淨利</t>
  </si>
  <si>
    <t>每股盈餘(元)</t>
  </si>
  <si>
    <t>加權平均股本</t>
  </si>
  <si>
    <t>當季特別股息負債</t>
  </si>
  <si>
    <t xml:space="preserve"> 現金及約當現金</t>
  </si>
  <si>
    <t xml:space="preserve"> 短期投資</t>
  </si>
  <si>
    <t xml:space="preserve"> 應收帳款及票據</t>
  </si>
  <si>
    <t xml:space="preserve"> 其他應收款</t>
  </si>
  <si>
    <t xml:space="preserve"> 短期借支</t>
  </si>
  <si>
    <t xml:space="preserve"> 存貨</t>
  </si>
  <si>
    <t xml:space="preserve"> 在建工程</t>
  </si>
  <si>
    <t>N/A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</si>
  <si>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</si>
  <si>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</si>
  <si>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</si>
  <si>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</si>
  <si>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</si>
  <si>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</si>
  <si>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</si>
  <si>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</si>
  <si>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</si>
  <si>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</si>
  <si>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</si>
  <si>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</si>
  <si>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</si>
  <si>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</si>
  <si>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</si>
  <si>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</si>
  <si>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</si>
  <si>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>資產總額</t>
  </si>
  <si>
    <t xml:space="preserve"> 短期借款</t>
  </si>
  <si>
    <t xml:space="preserve"> 應付商業本票</t>
  </si>
  <si>
    <t xml:space="preserve"> 應付帳款及票據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</si>
  <si>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</si>
  <si>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</si>
  <si>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</si>
  <si>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</si>
  <si>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</si>
  <si>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</si>
  <si>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</si>
  <si>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</si>
  <si>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</si>
  <si>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</si>
  <si>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</si>
  <si>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</si>
  <si>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</si>
  <si>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</si>
  <si>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</si>
  <si>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負債總額</t>
  </si>
  <si>
    <t>股東權益總額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</si>
  <si>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</si>
  <si>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</si>
  <si>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</si>
  <si>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</si>
  <si>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</si>
  <si>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</si>
  <si>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</si>
  <si>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負債及股東權益總額</t>
  </si>
  <si>
    <t>營業毛利率</t>
  </si>
  <si>
    <t>營業利益率</t>
  </si>
  <si>
    <t>稅前淨利率</t>
  </si>
  <si>
    <t>稅後淨利率</t>
  </si>
  <si>
    <t>每股營業額(元)</t>
  </si>
  <si>
    <t>每股營業利益(元)</t>
  </si>
  <si>
    <t>每股稅前淨利(元)</t>
  </si>
  <si>
    <t>資產報酬率</t>
  </si>
  <si>
    <t>營收成長率</t>
  </si>
  <si>
    <t>營業利益成長率</t>
  </si>
  <si>
    <t>稅前淨利成長率</t>
  </si>
  <si>
    <t>稅後淨利成長率</t>
  </si>
  <si>
    <t>總資產成長率</t>
  </si>
  <si>
    <t>淨值成長率</t>
  </si>
  <si>
    <t>固定資產成長率</t>
  </si>
  <si>
    <t>流動比率</t>
  </si>
  <si>
    <t>速動比率</t>
  </si>
  <si>
    <t>負債比率</t>
  </si>
  <si>
    <t>自有資本率</t>
  </si>
  <si>
    <t>長期負債與淨利比</t>
  </si>
  <si>
    <t>利息保障倍數</t>
  </si>
  <si>
    <t>應收帳款週轉率(次)</t>
  </si>
  <si>
    <t>應收帳週轉天數</t>
  </si>
  <si>
    <t>存貨週轉率(次)</t>
  </si>
  <si>
    <t>存貨週轉天數</t>
  </si>
  <si>
    <t>固定資產週轉率(次)</t>
  </si>
  <si>
    <t>總資產週轉率(次)</t>
  </si>
  <si>
    <t>員工平均營業額(千元)</t>
  </si>
  <si>
    <t>淨值週轉率</t>
  </si>
  <si>
    <t>負債對淨值比率</t>
  </si>
  <si>
    <t>長期資金適合率</t>
  </si>
  <si>
    <t>長投總資產比</t>
  </si>
  <si>
    <t>長投獲利率</t>
  </si>
  <si>
    <t>總市值 / 總負債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</si>
  <si>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</si>
  <si>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</si>
  <si>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</si>
  <si>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</si>
  <si>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>當年最高價</t>
  </si>
  <si>
    <t xml:space="preserve"> 現金股利收入－權益法</t>
  </si>
  <si>
    <t>當年最低價</t>
  </si>
  <si>
    <t xml:space="preserve"> 短期投資處分損(益)</t>
  </si>
  <si>
    <t>還原股價</t>
  </si>
  <si>
    <t xml:space="preserve"> 固定資產處分損(益)</t>
  </si>
  <si>
    <t xml:space="preserve"> 長期投資處分損(益)</t>
  </si>
  <si>
    <t xml:space="preserve"> 準備提列(迴轉)</t>
  </si>
  <si>
    <t>最高總市值</t>
  </si>
  <si>
    <t xml:space="preserve"> 其他調整項─營業</t>
  </si>
  <si>
    <t>最低總市值</t>
  </si>
  <si>
    <t>來自營運之現金流量</t>
  </si>
  <si>
    <t>最高本益比</t>
  </si>
  <si>
    <t xml:space="preserve"> 短期投資出售(新購)</t>
  </si>
  <si>
    <t>最低本益比</t>
  </si>
  <si>
    <t xml:space="preserve"> 出售長期投資價款</t>
  </si>
  <si>
    <t xml:space="preserve"> 處分固定資產價款</t>
  </si>
  <si>
    <t xml:space="preserve"> 固定資產(購置)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</si>
  <si>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</si>
  <si>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</si>
  <si>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</si>
  <si>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</si>
  <si>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</si>
  <si>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</si>
  <si>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</si>
  <si>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</si>
  <si>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</si>
  <si>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</si>
  <si>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</si>
  <si>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</si>
  <si>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</si>
  <si>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</si>
  <si>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</si>
  <si>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</si>
  <si>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</si>
  <si>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</si>
  <si>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代號</t>
  </si>
  <si>
    <t>中華電</t>
  </si>
  <si>
    <t>單位: 仟元</t>
  </si>
  <si>
    <t>年/月</t>
  </si>
  <si>
    <t>營業收入</t>
  </si>
  <si>
    <t>月增率</t>
  </si>
  <si>
    <t>去年同期</t>
  </si>
  <si>
    <t>100/11</t>
  </si>
  <si>
    <t>100/10</t>
  </si>
  <si>
    <t>100/09</t>
  </si>
  <si>
    <t>100/08</t>
  </si>
  <si>
    <t>100/07</t>
  </si>
  <si>
    <t>100/06</t>
  </si>
  <si>
    <t>100/05</t>
  </si>
  <si>
    <t>100/04</t>
  </si>
  <si>
    <t>100/03</t>
  </si>
  <si>
    <t>100/02</t>
  </si>
  <si>
    <t>100/01</t>
  </si>
  <si>
    <t>一年內低價</t>
  </si>
  <si>
    <t>名稱</t>
    <phoneticPr fontId="2" type="noConversion"/>
  </si>
  <si>
    <t>100/12</t>
  </si>
  <si>
    <t>101.1Q</t>
  </si>
  <si>
    <t>100.4Q</t>
  </si>
  <si>
    <t>101/04</t>
  </si>
  <si>
    <t>101/03</t>
  </si>
  <si>
    <t>101/02</t>
  </si>
  <si>
    <t>101/01</t>
  </si>
  <si>
    <t>101/05</t>
  </si>
  <si>
    <t>股號</t>
    <phoneticPr fontId="2" type="noConversion"/>
  </si>
  <si>
    <t>101/06</t>
  </si>
  <si>
    <t>Θ 請填入合理ROE及合理PER</t>
    <phoneticPr fontId="2" type="noConversion"/>
  </si>
  <si>
    <t>101.2Q</t>
  </si>
  <si>
    <t>中華電(2412)月營收明細</t>
  </si>
  <si>
    <t>中華電 - 資料</t>
  </si>
  <si>
    <t>101/08</t>
  </si>
  <si>
    <t>101/07</t>
  </si>
  <si>
    <t>呂學錦</t>
  </si>
  <si>
    <t>葉 疏</t>
  </si>
  <si>
    <t>02-23941845</t>
  </si>
  <si>
    <t>http://www.cht.com.tw</t>
  </si>
  <si>
    <t>稅後淨利</t>
  </si>
  <si>
    <t>自由現金流量</t>
  </si>
  <si>
    <t>上市</t>
    <phoneticPr fontId="2" type="noConversion"/>
  </si>
  <si>
    <t>上市櫃</t>
    <phoneticPr fontId="2" type="noConversion"/>
  </si>
  <si>
    <t>請輸入或選擇股票代號</t>
    <phoneticPr fontId="2" type="noConversion"/>
  </si>
  <si>
    <t>營收比重</t>
    <phoneticPr fontId="2" type="noConversion"/>
  </si>
  <si>
    <t>中華電</t>
    <phoneticPr fontId="2" type="noConversion"/>
  </si>
  <si>
    <t>台積電</t>
  </si>
  <si>
    <t>台積電</t>
    <phoneticPr fontId="2" type="noConversion"/>
  </si>
  <si>
    <t>國內固定通信業務淨額39.90%、行動電話39.79%、網際網路及加值業務12.36%、國際固定通信業務7.81%、其他營業收入0.15%</t>
  </si>
  <si>
    <t>101.3Q</t>
  </si>
  <si>
    <t>101/09</t>
  </si>
  <si>
    <t>台積電</t>
    <phoneticPr fontId="2" type="noConversion"/>
  </si>
  <si>
    <t>晶圓92.23%、其他6.81%、包裝元件0.97%</t>
  </si>
  <si>
    <t>台積電(2330)月營收明細</t>
  </si>
  <si>
    <t>台積電 - 資料</t>
  </si>
  <si>
    <t>101/10</t>
  </si>
  <si>
    <t>張忠謀</t>
  </si>
  <si>
    <t>何麗梅</t>
  </si>
  <si>
    <t>03-5636688</t>
  </si>
  <si>
    <t>http://www.tsmc.com/</t>
  </si>
  <si>
    <t>營業收入</t>
    <phoneticPr fontId="2" type="noConversion"/>
  </si>
  <si>
    <t>股東權益報酬率</t>
    <phoneticPr fontId="2" type="noConversion"/>
  </si>
  <si>
    <t>公司名稱</t>
  </si>
  <si>
    <t>利息淨收益</t>
  </si>
  <si>
    <t>利息以外淨收益</t>
  </si>
  <si>
    <t>淨收益</t>
  </si>
  <si>
    <t>呆帳費用、承諾及保證責任準備提存</t>
  </si>
  <si>
    <t>保險負債準備淨變動</t>
  </si>
  <si>
    <t>繼續營業單位稅前損益</t>
  </si>
  <si>
    <t>所得稅（費用）利益</t>
  </si>
  <si>
    <t>繼續營業單位本期淨利（淨損）</t>
  </si>
  <si>
    <t>停業單位損益</t>
  </si>
  <si>
    <t>本期稅後淨利（淨損）</t>
  </si>
  <si>
    <t>淨利（淨損）歸屬於共同控制下前手權益</t>
  </si>
  <si>
    <t>淨利（淨損）歸屬於非控制權益</t>
  </si>
  <si>
    <t>綜合損益總額歸屬於母公司業主</t>
  </si>
  <si>
    <t>綜合損益總額歸屬於共同控制下前手權益</t>
  </si>
  <si>
    <t>綜合損益總額歸屬於非控制權益</t>
  </si>
  <si>
    <t>基本每股盈餘（元）</t>
  </si>
  <si>
    <t>華南金</t>
  </si>
  <si>
    <t>--</t>
  </si>
  <si>
    <t>公司</t>
  </si>
  <si>
    <t>現金及約當現金</t>
  </si>
  <si>
    <t>存放央行及拆借金融同業</t>
  </si>
  <si>
    <t>透過損益按公允價值衡量之金融資產</t>
  </si>
  <si>
    <t>透過其他綜合損益按公允價值衡量之金融資產</t>
  </si>
  <si>
    <t>按攤銷後成本衡量之債務工具投資</t>
  </si>
  <si>
    <t>避險之衍生金融資產</t>
  </si>
  <si>
    <t>附賣回票券及債券投資</t>
  </si>
  <si>
    <t>應收款項－淨額</t>
  </si>
  <si>
    <t>當期所得稅資產</t>
  </si>
  <si>
    <t>待出售資產－淨額</t>
  </si>
  <si>
    <t>貼現及放款－淨額</t>
  </si>
  <si>
    <t>再保險合約資產－淨額</t>
  </si>
  <si>
    <t>採用權益法之投資－淨額</t>
  </si>
  <si>
    <t>受限制資產－淨額</t>
  </si>
  <si>
    <t>其他金融資產－淨額</t>
  </si>
  <si>
    <t>投資性不動產－淨額</t>
  </si>
  <si>
    <t>不動產及設備－淨額</t>
  </si>
  <si>
    <t>使用權資產－淨額</t>
  </si>
  <si>
    <t>無形資產－淨額</t>
  </si>
  <si>
    <t>遞延所得稅資產</t>
  </si>
  <si>
    <t>其他資產－淨額</t>
  </si>
  <si>
    <t>央行及金融同業存款</t>
  </si>
  <si>
    <t>央行及同業融資</t>
  </si>
  <si>
    <t>透過損益按公允價值衡量之金融負債</t>
  </si>
  <si>
    <t>避險之衍生金融負債</t>
  </si>
  <si>
    <t>附買回票券及債券負債</t>
  </si>
  <si>
    <t>應付商業本票－淨額</t>
  </si>
  <si>
    <t>應付款項</t>
  </si>
  <si>
    <t>當期所得稅負債</t>
  </si>
  <si>
    <t>與待出售資產直接相關之負債</t>
  </si>
  <si>
    <t>存款及匯款</t>
  </si>
  <si>
    <t>應付債券</t>
  </si>
  <si>
    <t>其他借款</t>
  </si>
  <si>
    <t>特別股負債</t>
  </si>
  <si>
    <t>負債準備</t>
  </si>
  <si>
    <t>其他金融負債</t>
  </si>
  <si>
    <t>租賃負債</t>
  </si>
  <si>
    <t>遞延所得稅負債</t>
  </si>
  <si>
    <t>其他負債</t>
  </si>
  <si>
    <t>股本</t>
  </si>
  <si>
    <t>資本公積</t>
  </si>
  <si>
    <t>保留盈餘</t>
  </si>
  <si>
    <t>其他權益</t>
  </si>
  <si>
    <t>庫藏股票</t>
  </si>
  <si>
    <t>共同控制下前手權益</t>
  </si>
  <si>
    <t>歸屬於母公司業主之權益</t>
  </si>
  <si>
    <t>非控制權益</t>
  </si>
  <si>
    <t>權益總額</t>
  </si>
  <si>
    <t>待註銷股本股數（單位：股）</t>
  </si>
  <si>
    <t>預收股款（權益項下）之約當發行股數（單位：股）</t>
  </si>
  <si>
    <t>母公司暨子公司所持有之母公司庫藏股股數（單位：股）</t>
  </si>
  <si>
    <t>股東權益</t>
    <phoneticPr fontId="2" type="noConversion"/>
  </si>
  <si>
    <t>Ratio</t>
    <phoneticPr fontId="2" type="noConversion"/>
  </si>
  <si>
    <t>Delta</t>
    <phoneticPr fontId="2" type="noConversion"/>
  </si>
  <si>
    <t>AVERAGE</t>
    <phoneticPr fontId="2" type="noConversion"/>
  </si>
  <si>
    <t>淨利（淨損）歸屬於母公司業主</t>
    <phoneticPr fontId="2" type="noConversion"/>
  </si>
  <si>
    <t>本期綜合損益總額</t>
    <phoneticPr fontId="2" type="noConversion"/>
  </si>
  <si>
    <t>本期其他綜合損益（稅後淨額）</t>
    <phoneticPr fontId="2" type="noConversion"/>
  </si>
  <si>
    <t>每股稅後淨利(元)</t>
    <phoneticPr fontId="2" type="noConversion"/>
  </si>
  <si>
    <t>現金股息</t>
    <phoneticPr fontId="2" type="noConversion"/>
  </si>
  <si>
    <t>股票股利</t>
    <phoneticPr fontId="2" type="noConversion"/>
  </si>
  <si>
    <t>配息率</t>
    <phoneticPr fontId="2" type="noConversion"/>
  </si>
  <si>
    <t>每股淨值(元)</t>
    <phoneticPr fontId="2" type="noConversion"/>
  </si>
  <si>
    <t>每股參考淨值</t>
    <phoneticPr fontId="2" type="noConversion"/>
  </si>
  <si>
    <t>稅前淨利</t>
    <phoneticPr fontId="2" type="noConversion"/>
  </si>
  <si>
    <t>當年最高價</t>
    <phoneticPr fontId="2" type="noConversion"/>
  </si>
  <si>
    <t>當年最低價</t>
    <phoneticPr fontId="2" type="noConversion"/>
  </si>
  <si>
    <t>最高本益比</t>
    <phoneticPr fontId="2" type="noConversion"/>
  </si>
  <si>
    <t>最低本益比</t>
    <phoneticPr fontId="2" type="noConversion"/>
  </si>
  <si>
    <t>再投資比率</t>
    <phoneticPr fontId="2" type="noConversion"/>
  </si>
  <si>
    <t>每股淨值(元)</t>
    <phoneticPr fontId="2" type="noConversion"/>
  </si>
  <si>
    <t>銀行</t>
    <phoneticPr fontId="2" type="noConversion"/>
  </si>
  <si>
    <t>利息以外淨損益</t>
  </si>
  <si>
    <t>繼續營業單位稅前淨利（淨損）</t>
  </si>
  <si>
    <t>所得稅費用（利益）</t>
  </si>
  <si>
    <t>繼續營業單位本期稅後淨利（淨損）</t>
  </si>
  <si>
    <t>合併前非屬共同控制股權損益</t>
  </si>
  <si>
    <t>其他綜合損益（稅後）</t>
  </si>
  <si>
    <t>合併前非屬共同控制股權綜合損益淨額</t>
  </si>
  <si>
    <t>本期綜合損益總額（稅後）</t>
  </si>
  <si>
    <t>淨利（損）歸屬於母公司業主</t>
  </si>
  <si>
    <t>淨利（損）歸屬於共同控制下前手權益</t>
  </si>
  <si>
    <t>淨利（損）歸屬於非控制權益</t>
  </si>
  <si>
    <t>收益</t>
  </si>
  <si>
    <t>支出及費用</t>
  </si>
  <si>
    <t>營業外損益</t>
  </si>
  <si>
    <t>稅前淨利（淨損）</t>
  </si>
  <si>
    <t>本期淨利（淨損）</t>
  </si>
  <si>
    <t>本期其他綜合損益（稅後淨額）</t>
  </si>
  <si>
    <t>本期綜合損益總額</t>
  </si>
  <si>
    <t>證券</t>
    <phoneticPr fontId="2" type="noConversion"/>
  </si>
  <si>
    <t>營業毛利（毛損）</t>
  </si>
  <si>
    <t>營業利益（損失）</t>
  </si>
  <si>
    <t>營業外收入及支出</t>
  </si>
  <si>
    <t>其他綜合損益（淨額）</t>
  </si>
  <si>
    <t>淨利（淨損）歸屬於母公司業主</t>
  </si>
  <si>
    <t>一般公司</t>
    <phoneticPr fontId="2" type="noConversion"/>
  </si>
  <si>
    <t>金控</t>
    <phoneticPr fontId="2" type="noConversion"/>
  </si>
  <si>
    <t>壽險</t>
    <phoneticPr fontId="2" type="noConversion"/>
  </si>
  <si>
    <t>繼續營業單位稅前純益（純損）</t>
  </si>
  <si>
    <t>繼續營業單位本期純益（純損）</t>
  </si>
  <si>
    <t>其他綜合損益（稅後淨額）</t>
  </si>
  <si>
    <t>收入</t>
  </si>
  <si>
    <t>支出</t>
  </si>
  <si>
    <t>其他綜合損益</t>
  </si>
  <si>
    <t>雜</t>
    <phoneticPr fontId="2" type="noConversion"/>
  </si>
  <si>
    <t>彰銀</t>
  </si>
  <si>
    <t>統一證</t>
  </si>
  <si>
    <t>台泥</t>
  </si>
  <si>
    <t>旺旺保</t>
  </si>
  <si>
    <t>新纖</t>
  </si>
  <si>
    <t>項目</t>
    <phoneticPr fontId="2" type="noConversion"/>
  </si>
  <si>
    <t>收入</t>
    <phoneticPr fontId="2" type="noConversion"/>
  </si>
  <si>
    <t>支出</t>
    <phoneticPr fontId="2" type="noConversion"/>
  </si>
  <si>
    <t>收入項目</t>
    <phoneticPr fontId="2" type="noConversion"/>
  </si>
  <si>
    <t>支出項目</t>
    <phoneticPr fontId="2" type="noConversion"/>
  </si>
  <si>
    <t>淨利</t>
    <phoneticPr fontId="2" type="noConversion"/>
  </si>
  <si>
    <t>存放央行及拆借銀行同業</t>
  </si>
  <si>
    <t>避險之衍生金融資產淨額</t>
  </si>
  <si>
    <t>附賣回票券及債券投資淨額</t>
  </si>
  <si>
    <t>待分配予業主之資產－淨額</t>
  </si>
  <si>
    <t>投資性不動產投資－淨額</t>
  </si>
  <si>
    <t>央行及銀行同業存款</t>
  </si>
  <si>
    <t>避險之衍生金融負債－淨額</t>
  </si>
  <si>
    <t>應付金融債券</t>
  </si>
  <si>
    <t>應付公司債</t>
  </si>
  <si>
    <t>權益─具證券性質之虛擬通貨</t>
  </si>
  <si>
    <t>歸屬於母公司業主之權益合計</t>
  </si>
  <si>
    <t>合併前非屬共同控制股權</t>
  </si>
  <si>
    <t>每股參考淨值</t>
  </si>
  <si>
    <t>非流動資產</t>
  </si>
  <si>
    <t>資產總計</t>
  </si>
  <si>
    <t>非流動負債</t>
  </si>
  <si>
    <t>負債總計</t>
  </si>
  <si>
    <t>權益－具證券性質之虛擬通貨</t>
  </si>
  <si>
    <t>保留盈餘（或累積虧損）</t>
  </si>
  <si>
    <t>歸屬於母公司業主權益合計</t>
  </si>
  <si>
    <t>權益總計</t>
  </si>
  <si>
    <t>母公司暨子公司持有之母公司庫藏股股數（單位：股）</t>
  </si>
  <si>
    <t>司</t>
  </si>
  <si>
    <t>應收款項</t>
  </si>
  <si>
    <t>本期所得稅資產</t>
  </si>
  <si>
    <t>待出售資產</t>
  </si>
  <si>
    <t>待分配予業主之資產（或處分群組）</t>
  </si>
  <si>
    <t>投資</t>
  </si>
  <si>
    <t>再保險合約資產</t>
  </si>
  <si>
    <t>不動產及設備</t>
  </si>
  <si>
    <t>使用權資產</t>
  </si>
  <si>
    <t>無形資產</t>
  </si>
  <si>
    <t>分離帳戶保險商品資產</t>
  </si>
  <si>
    <t>短期債務</t>
  </si>
  <si>
    <t>本期所得稅負債</t>
  </si>
  <si>
    <t>保險負債</t>
  </si>
  <si>
    <t>具金融商品性質之保險契約準備</t>
  </si>
  <si>
    <t>外匯價格變動準備</t>
  </si>
  <si>
    <t>分離帳戶保險商品負債</t>
  </si>
  <si>
    <t>資產</t>
    <phoneticPr fontId="2" type="noConversion"/>
  </si>
  <si>
    <t>負債</t>
    <phoneticPr fontId="2" type="noConversion"/>
  </si>
  <si>
    <t>股本</t>
    <phoneticPr fontId="2" type="noConversion"/>
  </si>
  <si>
    <t>每股淨值</t>
    <phoneticPr fontId="2" type="noConversion"/>
  </si>
  <si>
    <t>公司</t>
    <phoneticPr fontId="2" type="noConversion"/>
  </si>
  <si>
    <t>王道銀行</t>
  </si>
  <si>
    <t>利息以外淨損益</t>
    <phoneticPr fontId="2" type="noConversion"/>
  </si>
  <si>
    <t>利息淨收益</t>
    <phoneticPr fontId="2" type="noConversion"/>
  </si>
  <si>
    <t>收益</t>
    <phoneticPr fontId="2" type="noConversion"/>
  </si>
  <si>
    <t>支出及費用</t>
    <phoneticPr fontId="2" type="noConversion"/>
  </si>
  <si>
    <t>營業利益</t>
    <phoneticPr fontId="2" type="noConversion"/>
  </si>
  <si>
    <t>營業外損益</t>
    <phoneticPr fontId="2" type="noConversion"/>
  </si>
  <si>
    <t>稅前淨利（淨損）</t>
    <phoneticPr fontId="2" type="noConversion"/>
  </si>
  <si>
    <t>所得稅費用（利益）</t>
    <phoneticPr fontId="2" type="noConversion"/>
  </si>
  <si>
    <t>繼續營業單位本期淨利（淨損）</t>
    <phoneticPr fontId="2" type="noConversion"/>
  </si>
  <si>
    <t>停業單位損益</t>
    <phoneticPr fontId="2" type="noConversion"/>
  </si>
  <si>
    <t>合併前非屬共同控制股權損益</t>
    <phoneticPr fontId="2" type="noConversion"/>
  </si>
  <si>
    <t>本期淨利（淨損）</t>
    <phoneticPr fontId="2" type="noConversion"/>
  </si>
  <si>
    <t>本期稅後淨利（淨損）</t>
    <phoneticPr fontId="2" type="noConversion"/>
  </si>
  <si>
    <t>億麗</t>
  </si>
  <si>
    <t>營業收入</t>
    <phoneticPr fontId="2" type="noConversion"/>
  </si>
  <si>
    <t>營業外收入及支出</t>
    <phoneticPr fontId="2" type="noConversion"/>
  </si>
  <si>
    <t>營業成本</t>
    <phoneticPr fontId="2" type="noConversion"/>
  </si>
  <si>
    <t>營業毛利（毛損）淨額</t>
    <phoneticPr fontId="2" type="noConversion"/>
  </si>
  <si>
    <t>營業費用</t>
    <phoneticPr fontId="2" type="noConversion"/>
  </si>
  <si>
    <t>其他收益及費損淨額</t>
    <phoneticPr fontId="2" type="noConversion"/>
  </si>
  <si>
    <t>原始認列生物資產及農產品之利益（損失）</t>
    <phoneticPr fontId="2" type="noConversion"/>
  </si>
  <si>
    <t>生物資產當期公允價值減出售成本之變動利益（損失）</t>
    <phoneticPr fontId="2" type="noConversion"/>
  </si>
  <si>
    <t>未實現銷貨（損）益</t>
    <phoneticPr fontId="2" type="noConversion"/>
  </si>
  <si>
    <t>已實現銷貨（損）益</t>
    <phoneticPr fontId="2" type="noConversion"/>
  </si>
  <si>
    <t>利息以外淨收益</t>
    <phoneticPr fontId="2" type="noConversion"/>
  </si>
  <si>
    <t>呆帳費用、承諾及保證責任準備提存</t>
    <phoneticPr fontId="2" type="noConversion"/>
  </si>
  <si>
    <t>保險負債準備淨變動</t>
    <phoneticPr fontId="2" type="noConversion"/>
  </si>
  <si>
    <t>所得稅（費用）利益</t>
    <phoneticPr fontId="2" type="noConversion"/>
  </si>
  <si>
    <t>增減項目</t>
    <phoneticPr fontId="2" type="noConversion"/>
  </si>
  <si>
    <t>負債總額</t>
    <phoneticPr fontId="2" type="noConversion"/>
  </si>
  <si>
    <r>
      <rPr>
        <b/>
        <sz val="11"/>
        <color rgb="FFFFFFFF"/>
        <rFont val="細明體"/>
        <family val="3"/>
        <charset val="136"/>
      </rPr>
      <t>附賣回票券及債券投資</t>
    </r>
    <r>
      <rPr>
        <b/>
        <sz val="11"/>
        <color rgb="FFFFC000"/>
        <rFont val="細明體"/>
        <family val="3"/>
        <charset val="136"/>
      </rPr>
      <t>淨額</t>
    </r>
    <phoneticPr fontId="2" type="noConversion"/>
  </si>
  <si>
    <r>
      <rPr>
        <b/>
        <sz val="11"/>
        <color rgb="FFFFFFFF"/>
        <rFont val="細明體"/>
        <family val="3"/>
        <charset val="136"/>
      </rPr>
      <t>避險之衍生金融資產</t>
    </r>
    <r>
      <rPr>
        <b/>
        <sz val="11"/>
        <color rgb="FFFFC000"/>
        <rFont val="細明體"/>
        <family val="3"/>
        <charset val="136"/>
      </rPr>
      <t>淨額</t>
    </r>
    <phoneticPr fontId="2" type="noConversion"/>
  </si>
  <si>
    <t>待出售資產－淨額</t>
    <phoneticPr fontId="2" type="noConversion"/>
  </si>
  <si>
    <t>投資性不動產投資－淨額</t>
    <phoneticPr fontId="2" type="noConversion"/>
  </si>
  <si>
    <r>
      <rPr>
        <b/>
        <sz val="11"/>
        <color rgb="FFFFFFFF"/>
        <rFont val="細明體"/>
        <family val="3"/>
        <charset val="136"/>
      </rPr>
      <t>其他資產－</t>
    </r>
    <r>
      <rPr>
        <b/>
        <sz val="11"/>
        <color rgb="FFFFC000"/>
        <rFont val="細明體"/>
        <family val="3"/>
        <charset val="136"/>
      </rPr>
      <t>淨額</t>
    </r>
    <phoneticPr fontId="2" type="noConversion"/>
  </si>
  <si>
    <r>
      <rPr>
        <b/>
        <sz val="11"/>
        <color rgb="FFFFFFFF"/>
        <rFont val="細明體"/>
        <family val="3"/>
        <charset val="136"/>
      </rPr>
      <t>其他資產</t>
    </r>
    <r>
      <rPr>
        <b/>
        <sz val="11"/>
        <color rgb="FFFFC000"/>
        <rFont val="細明體"/>
        <family val="3"/>
        <charset val="136"/>
      </rPr>
      <t>－淨額</t>
    </r>
    <phoneticPr fontId="2" type="noConversion"/>
  </si>
  <si>
    <r>
      <rPr>
        <b/>
        <sz val="11"/>
        <color rgb="FFFFFFFF"/>
        <rFont val="細明體"/>
        <family val="3"/>
        <charset val="136"/>
      </rPr>
      <t>無形資產</t>
    </r>
    <r>
      <rPr>
        <b/>
        <sz val="11"/>
        <color rgb="FFFFC000"/>
        <rFont val="細明體"/>
        <family val="3"/>
        <charset val="136"/>
      </rPr>
      <t>－淨額</t>
    </r>
    <phoneticPr fontId="2" type="noConversion"/>
  </si>
  <si>
    <r>
      <rPr>
        <b/>
        <sz val="11"/>
        <color rgb="FFFFFFFF"/>
        <rFont val="細明體"/>
        <family val="3"/>
        <charset val="136"/>
      </rPr>
      <t>使用權資產</t>
    </r>
    <r>
      <rPr>
        <b/>
        <sz val="11"/>
        <color rgb="FFFFC000"/>
        <rFont val="細明體"/>
        <family val="3"/>
        <charset val="136"/>
      </rPr>
      <t>－淨額</t>
    </r>
    <phoneticPr fontId="2" type="noConversion"/>
  </si>
  <si>
    <t>不動產及設備－淨額</t>
    <phoneticPr fontId="2" type="noConversion"/>
  </si>
  <si>
    <t>資產</t>
    <phoneticPr fontId="2" type="noConversion"/>
  </si>
  <si>
    <r>
      <rPr>
        <b/>
        <sz val="11"/>
        <color rgb="FFFFFFFF"/>
        <rFont val="細明體"/>
        <family val="3"/>
        <charset val="136"/>
      </rPr>
      <t>避險之衍生金融負債</t>
    </r>
    <r>
      <rPr>
        <b/>
        <sz val="11"/>
        <color rgb="FFFFC000"/>
        <rFont val="細明體"/>
        <family val="3"/>
        <charset val="136"/>
      </rPr>
      <t>－淨額</t>
    </r>
    <phoneticPr fontId="2" type="noConversion"/>
  </si>
  <si>
    <r>
      <rPr>
        <b/>
        <sz val="11"/>
        <color rgb="FFFFFFFF"/>
        <rFont val="細明體"/>
        <family val="3"/>
        <charset val="136"/>
      </rPr>
      <t>應付</t>
    </r>
    <r>
      <rPr>
        <b/>
        <sz val="11"/>
        <color rgb="FFFFC000"/>
        <rFont val="細明體"/>
        <family val="3"/>
        <charset val="136"/>
      </rPr>
      <t>金融</t>
    </r>
    <r>
      <rPr>
        <b/>
        <sz val="11"/>
        <color rgb="FFFFFFFF"/>
        <rFont val="細明體"/>
        <family val="3"/>
        <charset val="136"/>
      </rPr>
      <t>債券</t>
    </r>
    <phoneticPr fontId="2" type="noConversion"/>
  </si>
  <si>
    <t>負債</t>
    <phoneticPr fontId="2" type="noConversion"/>
  </si>
  <si>
    <t>手續費淨收益</t>
  </si>
  <si>
    <t>呆帳費用</t>
  </si>
  <si>
    <t>繼續營業單位稅前淨利(淨損)</t>
  </si>
  <si>
    <t>所得稅(費用)利益</t>
  </si>
  <si>
    <t>繼續營業單位稅後淨利(淨損)</t>
  </si>
  <si>
    <t>停業單位損益(稅後)</t>
  </si>
  <si>
    <t>非常損益(稅後)</t>
  </si>
  <si>
    <t>會計原則變動之累積影響數(稅後)</t>
  </si>
  <si>
    <t>本期淨利(淨損)</t>
  </si>
  <si>
    <t>每股盈餘</t>
  </si>
  <si>
    <t>所得稅(利益)</t>
  </si>
  <si>
    <t>非常損益</t>
  </si>
  <si>
    <t>會計原則變動累積影響數</t>
  </si>
  <si>
    <t>本期損益</t>
  </si>
  <si>
    <t>每股稅後盈餘(元)</t>
  </si>
  <si>
    <t>營業毛利(毛損)</t>
  </si>
  <si>
    <t>聯屬公司間未實現利益</t>
  </si>
  <si>
    <t>聯屬公司間已實現利益</t>
  </si>
  <si>
    <t>營業淨利(淨損)</t>
  </si>
  <si>
    <t>營業外收入及利益</t>
  </si>
  <si>
    <t>營業外費用及損失</t>
  </si>
  <si>
    <t>繼續營業單位淨利(淨損)</t>
  </si>
  <si>
    <t>基本每股盈餘</t>
  </si>
  <si>
    <t>收回(提存)各項保險責任準備淨額</t>
  </si>
  <si>
    <t>繼續營業單位稅前合併淨利(淨損)</t>
  </si>
  <si>
    <t>繼續營業單位稅後合併淨利(淨損)</t>
  </si>
  <si>
    <t>合併總損益</t>
  </si>
  <si>
    <t>合併總損益歸屬予母公司股東</t>
  </si>
  <si>
    <t>合併總損益歸屬予少數股權</t>
  </si>
  <si>
    <t>基本每股盈餘(元)</t>
  </si>
  <si>
    <t>營業利益(損失)</t>
  </si>
  <si>
    <t>繼續營業單位稅前純益(純損)</t>
  </si>
  <si>
    <t>所得稅費用(利益)</t>
  </si>
  <si>
    <t>繼續營業單位稅後純益(純損)</t>
  </si>
  <si>
    <t>會計原則變動之累積影響數</t>
  </si>
  <si>
    <t>調整項目</t>
  </si>
  <si>
    <t>創見</t>
  </si>
  <si>
    <t>綠色: 強制轉正數後用 + 
紅色: 強制轉正數後用 -
橘色: 依照其顯示使用 +</t>
    <phoneticPr fontId="2" type="noConversion"/>
  </si>
  <si>
    <r>
      <rPr>
        <b/>
        <sz val="11"/>
        <color rgb="FFFFFFFF"/>
        <rFont val="細明體"/>
        <family val="3"/>
        <charset val="136"/>
      </rPr>
      <t>營業收入</t>
    </r>
    <r>
      <rPr>
        <b/>
        <sz val="11"/>
        <color rgb="FFFFC000"/>
        <rFont val="細明體"/>
        <family val="3"/>
        <charset val="136"/>
      </rPr>
      <t>淨額</t>
    </r>
    <phoneticPr fontId="2" type="noConversion"/>
  </si>
  <si>
    <r>
      <rPr>
        <b/>
        <sz val="11"/>
        <color rgb="FFFFFFFF"/>
        <rFont val="細明體"/>
        <family val="3"/>
        <charset val="136"/>
      </rPr>
      <t>停業單位損益</t>
    </r>
    <r>
      <rPr>
        <b/>
        <sz val="11"/>
        <color rgb="FFFFC000"/>
        <rFont val="Arial"/>
        <family val="2"/>
      </rPr>
      <t>(</t>
    </r>
    <r>
      <rPr>
        <b/>
        <sz val="11"/>
        <color rgb="FFFFC000"/>
        <rFont val="細明體"/>
        <family val="3"/>
        <charset val="136"/>
      </rPr>
      <t>稅後</t>
    </r>
    <r>
      <rPr>
        <b/>
        <sz val="11"/>
        <color rgb="FFFFC000"/>
        <rFont val="Arial"/>
        <family val="2"/>
      </rPr>
      <t>)</t>
    </r>
    <phoneticPr fontId="2" type="noConversion"/>
  </si>
  <si>
    <r>
      <rPr>
        <b/>
        <sz val="11"/>
        <color rgb="FFFFFFFF"/>
        <rFont val="細明體"/>
        <family val="3"/>
        <charset val="136"/>
      </rPr>
      <t>非常損益</t>
    </r>
    <r>
      <rPr>
        <b/>
        <sz val="11"/>
        <color rgb="FFFFC000"/>
        <rFont val="Arial"/>
        <family val="2"/>
      </rPr>
      <t>(</t>
    </r>
    <r>
      <rPr>
        <b/>
        <sz val="11"/>
        <color rgb="FFFFC000"/>
        <rFont val="細明體"/>
        <family val="3"/>
        <charset val="136"/>
      </rPr>
      <t>稅後</t>
    </r>
    <r>
      <rPr>
        <b/>
        <sz val="11"/>
        <color rgb="FFFFC000"/>
        <rFont val="Arial"/>
        <family val="2"/>
      </rPr>
      <t>)</t>
    </r>
    <phoneticPr fontId="2" type="noConversion"/>
  </si>
  <si>
    <r>
      <rPr>
        <b/>
        <sz val="11"/>
        <color rgb="FFFFFFFF"/>
        <rFont val="細明體"/>
        <family val="3"/>
        <charset val="136"/>
      </rPr>
      <t>會計原則變動之累積影響數</t>
    </r>
    <r>
      <rPr>
        <b/>
        <sz val="11"/>
        <color rgb="FFFFC000"/>
        <rFont val="Arial"/>
        <family val="2"/>
      </rPr>
      <t>(</t>
    </r>
    <r>
      <rPr>
        <b/>
        <sz val="11"/>
        <color rgb="FFFFC000"/>
        <rFont val="細明體"/>
        <family val="3"/>
        <charset val="136"/>
      </rPr>
      <t>稅後</t>
    </r>
    <r>
      <rPr>
        <b/>
        <sz val="11"/>
        <color rgb="FFFFC000"/>
        <rFont val="Arial"/>
        <family val="2"/>
      </rPr>
      <t>)</t>
    </r>
    <phoneticPr fontId="2" type="noConversion"/>
  </si>
  <si>
    <t>公平價變動列入損益之金融資產-淨額</t>
  </si>
  <si>
    <t>備供出售金融資產-淨額</t>
  </si>
  <si>
    <t>應收款項-淨額</t>
  </si>
  <si>
    <t>貼現及放款-淨額</t>
  </si>
  <si>
    <t>持有至到期日金融資產-淨額</t>
  </si>
  <si>
    <t>採權益法之股權投資-淨額</t>
  </si>
  <si>
    <t>固定資產-淨額</t>
  </si>
  <si>
    <t>其他金融資產-淨額</t>
  </si>
  <si>
    <t>應付商業本票-淨額</t>
  </si>
  <si>
    <t>公平價值變動列入損益之金融負債</t>
  </si>
  <si>
    <t>股東權益其他項目</t>
  </si>
  <si>
    <t>股東權益總計</t>
  </si>
  <si>
    <t>預收股款（股東權益項下）之約當發行股數（單位：股）</t>
  </si>
  <si>
    <t>安泰銀</t>
  </si>
  <si>
    <t>基金及投資</t>
  </si>
  <si>
    <t>受託買賣借項</t>
  </si>
  <si>
    <t>貸方內部往來</t>
  </si>
  <si>
    <t>受託買賣貸項</t>
  </si>
  <si>
    <t>其它項目</t>
  </si>
  <si>
    <t>股東權益</t>
  </si>
  <si>
    <t>母公司暨子公司所持有之母公司庫藏股股數(單位:股)</t>
  </si>
  <si>
    <t>群益證</t>
  </si>
  <si>
    <t>基金與投資</t>
  </si>
  <si>
    <t>各項準備</t>
  </si>
  <si>
    <t>股東權益其他調整項目合計</t>
  </si>
  <si>
    <t>庫藏股票(自98年第4季起併入「其他項目」表達)</t>
  </si>
  <si>
    <t>統一</t>
  </si>
  <si>
    <t>國泰金</t>
  </si>
  <si>
    <t>公平價變動列入損益之金融資產</t>
  </si>
  <si>
    <t>不動產投資-淨額</t>
  </si>
  <si>
    <t>無形資產-淨額</t>
  </si>
  <si>
    <t>其他資產-淨額</t>
  </si>
  <si>
    <t>應計退休金負債</t>
  </si>
  <si>
    <t>營業及負債準備</t>
  </si>
  <si>
    <t>少數股權</t>
  </si>
  <si>
    <t>基金與投資</t>
    <phoneticPr fontId="2" type="noConversion"/>
  </si>
  <si>
    <t>中壽</t>
  </si>
  <si>
    <t>放款</t>
  </si>
  <si>
    <t>資產合計</t>
  </si>
  <si>
    <t>負債合計</t>
  </si>
  <si>
    <t>股東權益合計</t>
  </si>
  <si>
    <t>央行同業融資</t>
  </si>
  <si>
    <t>借方內部往來</t>
    <phoneticPr fontId="2" type="noConversion"/>
  </si>
  <si>
    <r>
      <rPr>
        <b/>
        <sz val="11"/>
        <color rgb="FFFFFFFF"/>
        <rFont val="細明體"/>
        <family val="3"/>
        <charset val="136"/>
      </rPr>
      <t>固定資產</t>
    </r>
    <r>
      <rPr>
        <b/>
        <sz val="11"/>
        <color rgb="FFFFC000"/>
        <rFont val="Arial"/>
        <family val="2"/>
      </rPr>
      <t>-</t>
    </r>
    <r>
      <rPr>
        <b/>
        <sz val="11"/>
        <color rgb="FFFFC000"/>
        <rFont val="細明體"/>
        <family val="3"/>
        <charset val="136"/>
      </rPr>
      <t>淨額</t>
    </r>
    <phoneticPr fontId="2" type="noConversion"/>
  </si>
  <si>
    <r>
      <rPr>
        <b/>
        <sz val="11"/>
        <color rgb="FFFFFFFF"/>
        <rFont val="細明體"/>
        <family val="3"/>
        <charset val="136"/>
      </rPr>
      <t>無形資產</t>
    </r>
    <r>
      <rPr>
        <b/>
        <sz val="11"/>
        <color rgb="FFFFC000"/>
        <rFont val="Arial"/>
        <family val="2"/>
      </rPr>
      <t>-</t>
    </r>
    <r>
      <rPr>
        <b/>
        <sz val="11"/>
        <color rgb="FFFFC000"/>
        <rFont val="細明體"/>
        <family val="3"/>
        <charset val="136"/>
      </rPr>
      <t>淨額</t>
    </r>
    <phoneticPr fontId="2" type="noConversion"/>
  </si>
  <si>
    <r>
      <rPr>
        <b/>
        <sz val="11"/>
        <color theme="0"/>
        <rFont val="細明體"/>
        <family val="3"/>
        <charset val="136"/>
      </rPr>
      <t>其他金融資產</t>
    </r>
    <r>
      <rPr>
        <b/>
        <sz val="11"/>
        <color theme="0"/>
        <rFont val="Arial"/>
        <family val="2"/>
      </rPr>
      <t>-</t>
    </r>
    <r>
      <rPr>
        <b/>
        <sz val="11"/>
        <color theme="0"/>
        <rFont val="細明體"/>
        <family val="3"/>
        <charset val="136"/>
      </rPr>
      <t>淨額</t>
    </r>
    <phoneticPr fontId="2" type="noConversion"/>
  </si>
  <si>
    <r>
      <rPr>
        <b/>
        <sz val="11"/>
        <color rgb="FFFFFFFF"/>
        <rFont val="細明體"/>
        <family val="3"/>
        <charset val="136"/>
      </rPr>
      <t>其他資產</t>
    </r>
    <r>
      <rPr>
        <b/>
        <sz val="11"/>
        <color rgb="FFFFFFFF"/>
        <rFont val="Arial"/>
        <family val="2"/>
      </rPr>
      <t>-</t>
    </r>
    <r>
      <rPr>
        <b/>
        <sz val="11"/>
        <color rgb="FFFFC000"/>
        <rFont val="細明體"/>
        <family val="3"/>
        <charset val="136"/>
      </rPr>
      <t>淨額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</si>
</sst>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76" formatCode="0.0%"/>
    <numFmt numFmtId="177" formatCode="0.00&quot;%&quot;"/>
    <numFmt numFmtId="178" formatCode="0.0&quot;%&quot;"/>
    <numFmt numFmtId="179" formatCode="0.00_ "/>
    <numFmt numFmtId="180" formatCode="0.00_ ;[Red]\-0.00\ "/>
    <numFmt numFmtId="181" formatCode="#,##0_ "/>
    <numFmt numFmtId="182" formatCode="#,##0_ ;[Red]\-#,##0\ "/>
    <numFmt numFmtId="183" formatCode="yy&quot;/&quot;m&quot;/&quot;d"/>
    <numFmt numFmtId="184" formatCode="0.0_ "/>
    <numFmt numFmtId="185" formatCode="#,##0.00_ ;[Red]\-#,##0.00\ "/>
    <numFmt numFmtId="186" formatCode="0.0_ ;[Red]\-0.0\ "/>
    <numFmt numFmtId="187" formatCode="0_ "/>
    <numFmt numFmtId="188" formatCode="#,##0_);[Red]\(#,##0\)"/>
    <numFmt numFmtId="189" formatCode="mm/dd/yy;@"/>
  </numFmts>
  <fonts count="44"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1"/>
      <color rgb="FF3366FF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0"/>
      <color rgb="FF0000FF"/>
      <name val="微軟正黑體"/>
      <family val="2"/>
      <charset val="136"/>
    </font>
    <font>
      <sz val="9"/>
      <color theme="1"/>
      <name val="微軟正黑體"/>
      <family val="2"/>
      <charset val="136"/>
    </font>
    <font>
      <b/>
      <sz val="14"/>
      <color theme="0"/>
      <name val="微軟正黑體"/>
      <family val="2"/>
      <charset val="136"/>
    </font>
    <font>
      <sz val="11"/>
      <color rgb="FF0000FF"/>
      <name val="微軟正黑體"/>
      <family val="2"/>
      <charset val="136"/>
    </font>
    <font>
      <sz val="9"/>
      <color theme="1" tint="0.34998626667073579"/>
      <name val="微軟正黑體"/>
      <family val="2"/>
      <charset val="136"/>
    </font>
    <font>
      <sz val="10"/>
      <color theme="1" tint="0.34998626667073579"/>
      <name val="微軟正黑體"/>
      <family val="2"/>
      <charset val="136"/>
    </font>
    <font>
      <sz val="9"/>
      <color theme="1" tint="4.9989318521683403E-2"/>
      <name val="微軟正黑體"/>
      <family val="2"/>
      <charset val="136"/>
    </font>
    <font>
      <sz val="10"/>
      <color theme="1" tint="4.9989318521683403E-2"/>
      <name val="微軟正黑體"/>
      <family val="2"/>
      <charset val="136"/>
    </font>
    <font>
      <b/>
      <sz val="10"/>
      <color theme="1" tint="4.9989318521683403E-2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10"/>
      <color rgb="FF0000CC"/>
      <name val="微軟正黑體"/>
      <family val="2"/>
      <charset val="136"/>
    </font>
    <font>
      <sz val="12"/>
      <name val="新細明體"/>
      <family val="1"/>
      <charset val="136"/>
    </font>
    <font>
      <sz val="12"/>
      <name val="宋体"/>
      <family val="3"/>
      <charset val="136"/>
    </font>
    <font>
      <sz val="10"/>
      <color theme="1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sz val="10"/>
      <color theme="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1"/>
      <color rgb="FFFFFFFF"/>
      <name val="Arial"/>
      <family val="2"/>
    </font>
    <font>
      <sz val="11"/>
      <color rgb="FF333333"/>
      <name val="Arial"/>
      <family val="2"/>
    </font>
    <font>
      <sz val="12"/>
      <color rgb="FFFF0000"/>
      <name val="新細明體"/>
      <family val="2"/>
      <charset val="136"/>
      <scheme val="minor"/>
    </font>
    <font>
      <b/>
      <sz val="11"/>
      <color rgb="FFFFFFFF"/>
      <name val="細明體"/>
      <family val="3"/>
      <charset val="136"/>
    </font>
    <font>
      <b/>
      <sz val="11"/>
      <name val="Arial"/>
      <family val="2"/>
    </font>
    <font>
      <sz val="12"/>
      <name val="新細明體"/>
      <family val="2"/>
      <charset val="136"/>
      <scheme val="minor"/>
    </font>
    <font>
      <sz val="11"/>
      <name val="Arial"/>
      <family val="2"/>
    </font>
    <font>
      <b/>
      <sz val="11"/>
      <color rgb="FFFF0000"/>
      <name val="Arial"/>
      <family val="2"/>
    </font>
    <font>
      <b/>
      <sz val="11"/>
      <color theme="0"/>
      <name val="Arial"/>
      <family val="2"/>
    </font>
    <font>
      <b/>
      <sz val="12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1"/>
      <color rgb="FF333333"/>
      <name val="細明體"/>
      <family val="3"/>
      <charset val="136"/>
    </font>
    <font>
      <b/>
      <sz val="12"/>
      <color rgb="FFFF0000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1"/>
      <name val="細明體"/>
      <family val="3"/>
      <charset val="136"/>
    </font>
    <font>
      <b/>
      <sz val="26"/>
      <color theme="1"/>
      <name val="新細明體"/>
      <family val="1"/>
      <charset val="136"/>
      <scheme val="minor"/>
    </font>
    <font>
      <b/>
      <sz val="11"/>
      <color rgb="FFFFC000"/>
      <name val="Arial"/>
      <family val="2"/>
    </font>
    <font>
      <b/>
      <sz val="11"/>
      <color rgb="FFFFC000"/>
      <name val="細明體"/>
      <family val="3"/>
      <charset val="136"/>
    </font>
    <font>
      <b/>
      <sz val="11"/>
      <color theme="0"/>
      <name val="細明體"/>
      <family val="3"/>
      <charset val="136"/>
    </font>
  </fonts>
  <fills count="33">
    <fill>
      <patternFill patternType="none"/>
    </fill>
    <fill>
      <patternFill patternType="gray125"/>
    </fill>
    <fill>
      <gradientFill type="path" left="0.5" right="0.5" top="0.5" bottom="0.5">
        <stop position="0">
          <color theme="0"/>
        </stop>
        <stop position="1">
          <color theme="6" tint="0.59999389629810485"/>
        </stop>
      </gradientFill>
    </fill>
    <fill>
      <gradientFill type="path" left="0.5" right="0.5" top="0.5" bottom="0.5">
        <stop position="0">
          <color theme="0"/>
        </stop>
        <stop position="1">
          <color theme="8" tint="0.59999389629810485"/>
        </stop>
      </gradientFill>
    </fill>
    <fill>
      <gradientFill type="path" left="0.5" right="0.5" top="0.5" bottom="0.5">
        <stop position="0">
          <color theme="0"/>
        </stop>
        <stop position="1">
          <color theme="0" tint="-5.0965910824915313E-2"/>
        </stop>
      </gradientFill>
    </fill>
    <fill>
      <gradientFill type="path" left="0.5" right="0.5" top="0.5" bottom="0.5">
        <stop position="0">
          <color theme="0" tint="-0.34900967436750391"/>
        </stop>
        <stop position="1">
          <color theme="1" tint="0.34900967436750391"/>
        </stop>
      </gradient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patternFill patternType="solid">
        <fgColor rgb="FFC5C5C5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auto="1"/>
      </patternFill>
    </fill>
    <fill>
      <patternFill patternType="solid">
        <fgColor theme="6" tint="-0.249977111117893"/>
        <bgColor auto="1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auto="1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0" tint="-0.34998626667073579"/>
      </bottom>
      <diagonal/>
    </border>
    <border>
      <left style="medium">
        <color theme="1" tint="0.499984740745262"/>
      </left>
      <right style="medium">
        <color theme="1" tint="0.499984740745262"/>
      </right>
      <top style="thin">
        <color theme="0" tint="-0.34998626667073579"/>
      </top>
      <bottom style="medium">
        <color theme="1" tint="0.49998474074526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ck">
        <color theme="2" tint="-0.24994659260841701"/>
      </left>
      <right style="thin">
        <color theme="0" tint="-0.24994659260841701"/>
      </right>
      <top style="thick">
        <color theme="2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2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theme="2" tint="-0.24994659260841701"/>
      </right>
      <top style="thick">
        <color theme="2" tint="-0.24994659260841701"/>
      </top>
      <bottom style="thin">
        <color theme="0" tint="-0.24994659260841701"/>
      </bottom>
      <diagonal/>
    </border>
    <border>
      <left style="thick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theme="2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ck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ck">
        <color theme="2" tint="-0.24994659260841701"/>
      </bottom>
      <diagonal/>
    </border>
    <border>
      <left style="thin">
        <color theme="0" tint="-0.24994659260841701"/>
      </left>
      <right style="thick">
        <color theme="2" tint="-0.24994659260841701"/>
      </right>
      <top style="thin">
        <color theme="0" tint="-0.24994659260841701"/>
      </top>
      <bottom style="thick">
        <color theme="2" tint="-0.2499465926084170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8" fillId="0" borderId="0">
      <alignment vertical="center"/>
    </xf>
    <xf numFmtId="0" fontId="18" fillId="0" borderId="0"/>
    <xf numFmtId="0" fontId="19" fillId="0" borderId="0">
      <alignment vertical="center"/>
    </xf>
    <xf numFmtId="9" fontId="24" fillId="0" borderId="0" applyFont="0" applyFill="0" applyBorder="0" applyAlignment="0" applyProtection="0">
      <alignment vertical="center"/>
    </xf>
  </cellStyleXfs>
  <cellXfs count="318">
    <xf numFmtId="0" fontId="0" fillId="0" borderId="0" xfId="0">
      <alignment vertical="center"/>
    </xf>
    <xf numFmtId="176" fontId="8" fillId="2" borderId="2" xfId="0" applyNumberFormat="1" applyFont="1" applyFill="1" applyBorder="1" applyAlignment="1" applyProtection="1">
      <alignment vertical="center"/>
      <protection hidden="1"/>
    </xf>
    <xf numFmtId="0" fontId="0" fillId="0" borderId="0" xfId="0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6" fillId="0" borderId="0" xfId="0" applyFont="1" applyProtection="1">
      <alignment vertical="center"/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1" fillId="3" borderId="2" xfId="0" applyFont="1" applyFill="1" applyBorder="1" applyAlignment="1" applyProtection="1">
      <alignment horizontal="center" vertical="center"/>
      <protection hidden="1"/>
    </xf>
    <xf numFmtId="176" fontId="4" fillId="4" borderId="2" xfId="0" applyNumberFormat="1" applyFont="1" applyFill="1" applyBorder="1" applyAlignment="1" applyProtection="1">
      <alignment vertical="center"/>
      <protection hidden="1"/>
    </xf>
    <xf numFmtId="177" fontId="8" fillId="4" borderId="2" xfId="0" applyNumberFormat="1" applyFont="1" applyFill="1" applyBorder="1" applyAlignment="1" applyProtection="1">
      <alignment vertical="center"/>
      <protection hidden="1"/>
    </xf>
    <xf numFmtId="178" fontId="8" fillId="4" borderId="2" xfId="0" applyNumberFormat="1" applyFont="1" applyFill="1" applyBorder="1" applyAlignment="1" applyProtection="1">
      <alignment vertical="center"/>
      <protection hidden="1"/>
    </xf>
    <xf numFmtId="179" fontId="4" fillId="2" borderId="2" xfId="0" applyNumberFormat="1" applyFont="1" applyFill="1" applyBorder="1" applyAlignment="1" applyProtection="1">
      <alignment vertical="center"/>
      <protection hidden="1"/>
    </xf>
    <xf numFmtId="180" fontId="8" fillId="2" borderId="2" xfId="0" applyNumberFormat="1" applyFont="1" applyFill="1" applyBorder="1" applyAlignment="1" applyProtection="1">
      <alignment vertical="center"/>
      <protection hidden="1"/>
    </xf>
    <xf numFmtId="0" fontId="4" fillId="3" borderId="2" xfId="0" applyFont="1" applyFill="1" applyBorder="1" applyAlignment="1" applyProtection="1">
      <alignment vertical="center"/>
      <protection hidden="1"/>
    </xf>
    <xf numFmtId="180" fontId="8" fillId="3" borderId="2" xfId="0" applyNumberFormat="1" applyFont="1" applyFill="1" applyBorder="1" applyAlignment="1" applyProtection="1">
      <alignment vertical="center"/>
      <protection hidden="1"/>
    </xf>
    <xf numFmtId="179" fontId="8" fillId="4" borderId="2" xfId="0" applyNumberFormat="1" applyFont="1" applyFill="1" applyBorder="1" applyAlignment="1" applyProtection="1">
      <alignment vertical="center"/>
      <protection hidden="1"/>
    </xf>
    <xf numFmtId="181" fontId="8" fillId="4" borderId="2" xfId="0" applyNumberFormat="1" applyFont="1" applyFill="1" applyBorder="1" applyAlignment="1" applyProtection="1">
      <alignment vertical="center"/>
      <protection hidden="1"/>
    </xf>
    <xf numFmtId="179" fontId="8" fillId="2" borderId="2" xfId="0" applyNumberFormat="1" applyFont="1" applyFill="1" applyBorder="1" applyAlignment="1" applyProtection="1">
      <alignment vertical="center"/>
      <protection hidden="1"/>
    </xf>
    <xf numFmtId="181" fontId="8" fillId="3" borderId="2" xfId="0" applyNumberFormat="1" applyFont="1" applyFill="1" applyBorder="1" applyAlignment="1" applyProtection="1">
      <alignment vertical="center"/>
      <protection hidden="1"/>
    </xf>
    <xf numFmtId="10" fontId="8" fillId="4" borderId="2" xfId="0" applyNumberFormat="1" applyFont="1" applyFill="1" applyBorder="1" applyAlignment="1" applyProtection="1">
      <alignment vertical="center"/>
      <protection hidden="1"/>
    </xf>
    <xf numFmtId="182" fontId="8" fillId="2" borderId="2" xfId="0" applyNumberFormat="1" applyFont="1" applyFill="1" applyBorder="1" applyAlignment="1" applyProtection="1">
      <alignment vertical="center"/>
      <protection hidden="1"/>
    </xf>
    <xf numFmtId="182" fontId="8" fillId="3" borderId="2" xfId="0" applyNumberFormat="1" applyFont="1" applyFill="1" applyBorder="1" applyAlignment="1" applyProtection="1">
      <alignment vertical="center"/>
      <protection hidden="1"/>
    </xf>
    <xf numFmtId="182" fontId="8" fillId="4" borderId="2" xfId="0" applyNumberFormat="1" applyFont="1" applyFill="1" applyBorder="1" applyAlignment="1" applyProtection="1">
      <alignment vertical="center"/>
      <protection hidden="1"/>
    </xf>
    <xf numFmtId="0" fontId="11" fillId="4" borderId="3" xfId="0" applyFont="1" applyFill="1" applyBorder="1" applyAlignment="1" applyProtection="1">
      <alignment vertical="center"/>
      <protection hidden="1"/>
    </xf>
    <xf numFmtId="10" fontId="13" fillId="4" borderId="3" xfId="0" applyNumberFormat="1" applyFont="1" applyFill="1" applyBorder="1" applyAlignment="1" applyProtection="1">
      <alignment vertical="center"/>
      <protection hidden="1"/>
    </xf>
    <xf numFmtId="0" fontId="6" fillId="0" borderId="0" xfId="0" applyFont="1" applyFill="1" applyProtection="1">
      <alignment vertical="center"/>
      <protection hidden="1"/>
    </xf>
    <xf numFmtId="0" fontId="7" fillId="0" borderId="9" xfId="0" applyFont="1" applyFill="1" applyBorder="1" applyAlignment="1" applyProtection="1">
      <alignment vertical="center"/>
      <protection hidden="1"/>
    </xf>
    <xf numFmtId="179" fontId="7" fillId="2" borderId="2" xfId="0" applyNumberFormat="1" applyFont="1" applyFill="1" applyBorder="1" applyAlignment="1" applyProtection="1">
      <alignment vertical="center"/>
      <protection hidden="1"/>
    </xf>
    <xf numFmtId="0" fontId="7" fillId="3" borderId="2" xfId="0" applyFont="1" applyFill="1" applyBorder="1" applyAlignment="1" applyProtection="1">
      <alignment vertical="center"/>
      <protection hidden="1"/>
    </xf>
    <xf numFmtId="10" fontId="4" fillId="4" borderId="3" xfId="0" applyNumberFormat="1" applyFont="1" applyFill="1" applyBorder="1" applyAlignment="1" applyProtection="1">
      <alignment vertical="center"/>
      <protection hidden="1"/>
    </xf>
    <xf numFmtId="10" fontId="4" fillId="4" borderId="6" xfId="0" applyNumberFormat="1" applyFont="1" applyFill="1" applyBorder="1" applyAlignment="1" applyProtection="1">
      <alignment vertical="center"/>
      <protection hidden="1"/>
    </xf>
    <xf numFmtId="10" fontId="4" fillId="4" borderId="9" xfId="0" applyNumberFormat="1" applyFont="1" applyFill="1" applyBorder="1" applyAlignment="1" applyProtection="1">
      <alignment vertical="center"/>
      <protection hidden="1"/>
    </xf>
    <xf numFmtId="10" fontId="4" fillId="4" borderId="4" xfId="0" applyNumberFormat="1" applyFont="1" applyFill="1" applyBorder="1" applyAlignment="1" applyProtection="1">
      <alignment vertical="center"/>
      <protection hidden="1"/>
    </xf>
    <xf numFmtId="0" fontId="8" fillId="4" borderId="6" xfId="0" applyNumberFormat="1" applyFont="1" applyFill="1" applyBorder="1" applyAlignment="1" applyProtection="1">
      <alignment vertical="center"/>
      <protection hidden="1"/>
    </xf>
    <xf numFmtId="10" fontId="16" fillId="4" borderId="4" xfId="0" applyNumberFormat="1" applyFont="1" applyFill="1" applyBorder="1" applyAlignment="1" applyProtection="1">
      <alignment vertical="center"/>
      <protection hidden="1"/>
    </xf>
    <xf numFmtId="185" fontId="8" fillId="2" borderId="2" xfId="0" applyNumberFormat="1" applyFont="1" applyFill="1" applyBorder="1" applyAlignment="1" applyProtection="1">
      <alignment vertical="center"/>
      <protection hidden="1"/>
    </xf>
    <xf numFmtId="185" fontId="8" fillId="3" borderId="2" xfId="0" applyNumberFormat="1" applyFont="1" applyFill="1" applyBorder="1" applyAlignment="1" applyProtection="1">
      <alignment vertical="center"/>
      <protection hidden="1"/>
    </xf>
    <xf numFmtId="3" fontId="4" fillId="3" borderId="2" xfId="0" applyNumberFormat="1" applyFont="1" applyFill="1" applyBorder="1" applyAlignment="1" applyProtection="1">
      <alignment vertical="center"/>
      <protection hidden="1"/>
    </xf>
    <xf numFmtId="176" fontId="17" fillId="4" borderId="2" xfId="0" applyNumberFormat="1" applyFont="1" applyFill="1" applyBorder="1" applyAlignment="1" applyProtection="1">
      <alignment vertical="center"/>
      <protection hidden="1"/>
    </xf>
    <xf numFmtId="179" fontId="17" fillId="2" borderId="2" xfId="0" applyNumberFormat="1" applyFont="1" applyFill="1" applyBorder="1" applyAlignment="1" applyProtection="1">
      <alignment vertical="center"/>
      <protection hidden="1"/>
    </xf>
    <xf numFmtId="177" fontId="8" fillId="2" borderId="2" xfId="0" applyNumberFormat="1" applyFont="1" applyFill="1" applyBorder="1" applyAlignment="1" applyProtection="1">
      <alignment vertical="center"/>
      <protection hidden="1"/>
    </xf>
    <xf numFmtId="177" fontId="8" fillId="3" borderId="2" xfId="0" applyNumberFormat="1" applyFont="1" applyFill="1" applyBorder="1" applyAlignment="1" applyProtection="1">
      <alignment vertical="center"/>
      <protection hidden="1"/>
    </xf>
    <xf numFmtId="179" fontId="8" fillId="3" borderId="2" xfId="0" applyNumberFormat="1" applyFont="1" applyFill="1" applyBorder="1" applyAlignment="1" applyProtection="1">
      <alignment vertical="center"/>
      <protection hidden="1"/>
    </xf>
    <xf numFmtId="180" fontId="8" fillId="4" borderId="2" xfId="0" applyNumberFormat="1" applyFont="1" applyFill="1" applyBorder="1" applyAlignment="1" applyProtection="1">
      <alignment vertical="center"/>
      <protection hidden="1"/>
    </xf>
    <xf numFmtId="176" fontId="8" fillId="4" borderId="2" xfId="0" applyNumberFormat="1" applyFont="1" applyFill="1" applyBorder="1" applyAlignment="1" applyProtection="1">
      <alignment vertical="center"/>
      <protection hidden="1"/>
    </xf>
    <xf numFmtId="178" fontId="8" fillId="2" borderId="2" xfId="0" applyNumberFormat="1" applyFont="1" applyFill="1" applyBorder="1" applyAlignment="1" applyProtection="1">
      <alignment vertical="center"/>
      <protection hidden="1"/>
    </xf>
    <xf numFmtId="178" fontId="8" fillId="3" borderId="2" xfId="0" applyNumberFormat="1" applyFont="1" applyFill="1" applyBorder="1" applyAlignment="1" applyProtection="1">
      <alignment vertical="center"/>
      <protection hidden="1"/>
    </xf>
    <xf numFmtId="176" fontId="8" fillId="3" borderId="2" xfId="0" applyNumberFormat="1" applyFont="1" applyFill="1" applyBorder="1" applyAlignment="1" applyProtection="1">
      <alignment vertical="center"/>
      <protection hidden="1"/>
    </xf>
    <xf numFmtId="186" fontId="8" fillId="4" borderId="2" xfId="0" applyNumberFormat="1" applyFont="1" applyFill="1" applyBorder="1" applyAlignment="1" applyProtection="1">
      <alignment vertical="center"/>
      <protection hidden="1"/>
    </xf>
    <xf numFmtId="184" fontId="8" fillId="4" borderId="2" xfId="0" applyNumberFormat="1" applyFont="1" applyFill="1" applyBorder="1" applyAlignment="1" applyProtection="1">
      <alignment vertical="center"/>
      <protection hidden="1"/>
    </xf>
    <xf numFmtId="187" fontId="8" fillId="4" borderId="2" xfId="0" applyNumberFormat="1" applyFont="1" applyFill="1" applyBorder="1" applyAlignment="1" applyProtection="1">
      <alignment vertical="center"/>
      <protection hidden="1"/>
    </xf>
    <xf numFmtId="181" fontId="8" fillId="2" borderId="2" xfId="0" applyNumberFormat="1" applyFont="1" applyFill="1" applyBorder="1" applyAlignment="1" applyProtection="1">
      <alignment vertical="center"/>
      <protection hidden="1"/>
    </xf>
    <xf numFmtId="10" fontId="8" fillId="2" borderId="2" xfId="0" applyNumberFormat="1" applyFont="1" applyFill="1" applyBorder="1" applyAlignment="1" applyProtection="1">
      <alignment vertical="center"/>
      <protection hidden="1"/>
    </xf>
    <xf numFmtId="10" fontId="8" fillId="3" borderId="2" xfId="0" applyNumberFormat="1" applyFont="1" applyFill="1" applyBorder="1" applyAlignment="1" applyProtection="1">
      <alignment vertical="center"/>
      <protection hidden="1"/>
    </xf>
    <xf numFmtId="179" fontId="4" fillId="4" borderId="2" xfId="0" applyNumberFormat="1" applyFont="1" applyFill="1" applyBorder="1" applyAlignment="1" applyProtection="1">
      <alignment vertical="center"/>
      <protection hidden="1"/>
    </xf>
    <xf numFmtId="176" fontId="4" fillId="2" borderId="2" xfId="0" applyNumberFormat="1" applyFont="1" applyFill="1" applyBorder="1" applyAlignment="1" applyProtection="1">
      <alignment vertical="center"/>
      <protection hidden="1"/>
    </xf>
    <xf numFmtId="0" fontId="5" fillId="0" borderId="1" xfId="0" applyNumberFormat="1" applyFont="1" applyBorder="1" applyAlignment="1" applyProtection="1">
      <alignment vertical="center"/>
      <protection hidden="1"/>
    </xf>
    <xf numFmtId="0" fontId="1" fillId="0" borderId="1" xfId="0" applyNumberFormat="1" applyFont="1" applyBorder="1" applyAlignment="1" applyProtection="1">
      <alignment vertical="center"/>
      <protection hidden="1"/>
    </xf>
    <xf numFmtId="0" fontId="1" fillId="0" borderId="11" xfId="0" applyFont="1" applyBorder="1" applyAlignment="1" applyProtection="1">
      <alignment horizontal="center" vertical="center"/>
      <protection hidden="1"/>
    </xf>
    <xf numFmtId="0" fontId="3" fillId="0" borderId="12" xfId="0" applyFont="1" applyBorder="1" applyAlignment="1" applyProtection="1">
      <alignment horizontal="center" vertical="center"/>
      <protection hidden="1"/>
    </xf>
    <xf numFmtId="0" fontId="0" fillId="0" borderId="2" xfId="0" applyFill="1" applyBorder="1">
      <alignment vertical="center"/>
    </xf>
    <xf numFmtId="176" fontId="12" fillId="4" borderId="7" xfId="0" applyNumberFormat="1" applyFont="1" applyFill="1" applyBorder="1" applyAlignment="1" applyProtection="1">
      <alignment vertical="center"/>
      <protection locked="0"/>
    </xf>
    <xf numFmtId="179" fontId="12" fillId="4" borderId="5" xfId="0" applyNumberFormat="1" applyFont="1" applyFill="1" applyBorder="1" applyAlignment="1" applyProtection="1">
      <alignment vertical="center"/>
      <protection locked="0"/>
    </xf>
    <xf numFmtId="184" fontId="14" fillId="4" borderId="8" xfId="0" applyNumberFormat="1" applyFont="1" applyFill="1" applyBorder="1" applyAlignment="1" applyProtection="1">
      <alignment vertical="center"/>
      <protection locked="0"/>
    </xf>
    <xf numFmtId="184" fontId="15" fillId="4" borderId="10" xfId="0" applyNumberFormat="1" applyFont="1" applyFill="1" applyBorder="1" applyAlignment="1" applyProtection="1">
      <alignment vertical="center"/>
      <protection locked="0"/>
    </xf>
    <xf numFmtId="0" fontId="6" fillId="0" borderId="0" xfId="0" applyFont="1" applyFill="1" applyProtection="1">
      <alignment vertical="center"/>
      <protection locked="0"/>
    </xf>
    <xf numFmtId="9" fontId="8" fillId="4" borderId="2" xfId="0" applyNumberFormat="1" applyFont="1" applyFill="1" applyBorder="1" applyAlignment="1" applyProtection="1">
      <alignment vertical="center"/>
      <protection hidden="1"/>
    </xf>
    <xf numFmtId="0" fontId="0" fillId="0" borderId="0" xfId="0" applyProtection="1">
      <alignment vertical="center"/>
      <protection hidden="1"/>
    </xf>
    <xf numFmtId="0" fontId="11" fillId="4" borderId="6" xfId="0" applyFont="1" applyFill="1" applyBorder="1" applyAlignment="1" applyProtection="1">
      <alignment vertical="center"/>
      <protection locked="0"/>
    </xf>
    <xf numFmtId="0" fontId="11" fillId="4" borderId="4" xfId="0" applyFont="1" applyFill="1" applyBorder="1" applyAlignment="1" applyProtection="1">
      <alignment vertical="center"/>
      <protection locked="0"/>
    </xf>
    <xf numFmtId="10" fontId="13" fillId="4" borderId="6" xfId="0" applyNumberFormat="1" applyFont="1" applyFill="1" applyBorder="1" applyAlignment="1" applyProtection="1">
      <alignment vertical="center"/>
      <protection locked="0"/>
    </xf>
    <xf numFmtId="10" fontId="13" fillId="4" borderId="9" xfId="0" applyNumberFormat="1" applyFont="1" applyFill="1" applyBorder="1" applyAlignment="1" applyProtection="1">
      <alignment vertical="center"/>
      <protection locked="0"/>
    </xf>
    <xf numFmtId="188" fontId="8" fillId="4" borderId="2" xfId="0" applyNumberFormat="1" applyFont="1" applyFill="1" applyBorder="1" applyAlignment="1" applyProtection="1">
      <alignment vertical="center"/>
      <protection hidden="1"/>
    </xf>
    <xf numFmtId="188" fontId="8" fillId="2" borderId="2" xfId="0" applyNumberFormat="1" applyFont="1" applyFill="1" applyBorder="1" applyAlignment="1" applyProtection="1">
      <alignment vertical="center"/>
      <protection hidden="1"/>
    </xf>
    <xf numFmtId="0" fontId="8" fillId="4" borderId="2" xfId="0" applyNumberFormat="1" applyFont="1" applyFill="1" applyBorder="1" applyAlignment="1" applyProtection="1">
      <alignment vertical="center"/>
      <protection hidden="1"/>
    </xf>
    <xf numFmtId="0" fontId="0" fillId="0" borderId="0" xfId="0">
      <alignment vertical="center"/>
    </xf>
    <xf numFmtId="0" fontId="8" fillId="2" borderId="2" xfId="0" applyNumberFormat="1" applyFont="1" applyFill="1" applyBorder="1" applyAlignment="1" applyProtection="1">
      <alignment vertical="center"/>
      <protection hidden="1"/>
    </xf>
    <xf numFmtId="184" fontId="8" fillId="2" borderId="2" xfId="0" applyNumberFormat="1" applyFont="1" applyFill="1" applyBorder="1" applyAlignment="1" applyProtection="1">
      <alignment vertical="center"/>
      <protection hidden="1"/>
    </xf>
    <xf numFmtId="189" fontId="11" fillId="4" borderId="3" xfId="0" applyNumberFormat="1" applyFont="1" applyFill="1" applyBorder="1" applyAlignment="1" applyProtection="1">
      <alignment vertical="center"/>
      <protection hidden="1"/>
    </xf>
    <xf numFmtId="0" fontId="13" fillId="4" borderId="3" xfId="0" applyNumberFormat="1" applyFont="1" applyFill="1" applyBorder="1" applyAlignment="1" applyProtection="1">
      <alignment vertical="center"/>
      <protection hidden="1"/>
    </xf>
    <xf numFmtId="178" fontId="13" fillId="4" borderId="3" xfId="0" applyNumberFormat="1" applyFont="1" applyFill="1" applyBorder="1" applyAlignment="1" applyProtection="1">
      <alignment vertical="center"/>
      <protection hidden="1"/>
    </xf>
    <xf numFmtId="179" fontId="13" fillId="4" borderId="3" xfId="0" applyNumberFormat="1" applyFont="1" applyFill="1" applyBorder="1" applyAlignment="1" applyProtection="1">
      <alignment vertical="center"/>
      <protection hidden="1"/>
    </xf>
    <xf numFmtId="10" fontId="11" fillId="4" borderId="3" xfId="0" applyNumberFormat="1" applyFont="1" applyFill="1" applyBorder="1" applyAlignment="1" applyProtection="1">
      <alignment vertical="center"/>
      <protection hidden="1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183" fontId="20" fillId="0" borderId="0" xfId="0" applyNumberFormat="1" applyFont="1">
      <alignment vertical="center"/>
    </xf>
    <xf numFmtId="14" fontId="20" fillId="0" borderId="0" xfId="0" applyNumberFormat="1" applyFont="1">
      <alignment vertical="center"/>
    </xf>
    <xf numFmtId="0" fontId="0" fillId="6" borderId="13" xfId="0" applyFill="1" applyBorder="1">
      <alignment vertical="center"/>
    </xf>
    <xf numFmtId="0" fontId="1" fillId="0" borderId="1" xfId="0" applyFont="1" applyBorder="1" applyAlignment="1" applyProtection="1">
      <alignment horizontal="center" vertical="center"/>
      <protection hidden="1"/>
    </xf>
    <xf numFmtId="176" fontId="4" fillId="2" borderId="13" xfId="0" applyNumberFormat="1" applyFont="1" applyFill="1" applyBorder="1" applyAlignment="1" applyProtection="1">
      <alignment vertical="center"/>
      <protection hidden="1"/>
    </xf>
    <xf numFmtId="184" fontId="8" fillId="2" borderId="13" xfId="0" applyNumberFormat="1" applyFont="1" applyFill="1" applyBorder="1" applyAlignment="1" applyProtection="1">
      <alignment vertical="center"/>
      <protection hidden="1"/>
    </xf>
    <xf numFmtId="179" fontId="4" fillId="4" borderId="14" xfId="0" applyNumberFormat="1" applyFont="1" applyFill="1" applyBorder="1" applyAlignment="1" applyProtection="1">
      <alignment vertical="center"/>
      <protection hidden="1"/>
    </xf>
    <xf numFmtId="182" fontId="8" fillId="4" borderId="15" xfId="0" applyNumberFormat="1" applyFont="1" applyFill="1" applyBorder="1" applyAlignment="1" applyProtection="1">
      <alignment vertical="center"/>
      <protection hidden="1"/>
    </xf>
    <xf numFmtId="182" fontId="8" fillId="4" borderId="16" xfId="0" applyNumberFormat="1" applyFont="1" applyFill="1" applyBorder="1" applyAlignment="1" applyProtection="1">
      <alignment vertical="center"/>
      <protection hidden="1"/>
    </xf>
    <xf numFmtId="176" fontId="4" fillId="2" borderId="17" xfId="0" applyNumberFormat="1" applyFont="1" applyFill="1" applyBorder="1" applyAlignment="1" applyProtection="1">
      <alignment vertical="center"/>
      <protection hidden="1"/>
    </xf>
    <xf numFmtId="188" fontId="8" fillId="2" borderId="18" xfId="0" applyNumberFormat="1" applyFont="1" applyFill="1" applyBorder="1" applyAlignment="1" applyProtection="1">
      <alignment vertical="center"/>
      <protection hidden="1"/>
    </xf>
    <xf numFmtId="179" fontId="4" fillId="4" borderId="17" xfId="0" applyNumberFormat="1" applyFont="1" applyFill="1" applyBorder="1" applyAlignment="1" applyProtection="1">
      <alignment vertical="center"/>
      <protection hidden="1"/>
    </xf>
    <xf numFmtId="188" fontId="8" fillId="4" borderId="18" xfId="0" applyNumberFormat="1" applyFont="1" applyFill="1" applyBorder="1" applyAlignment="1" applyProtection="1">
      <alignment vertical="center"/>
      <protection hidden="1"/>
    </xf>
    <xf numFmtId="0" fontId="8" fillId="2" borderId="18" xfId="0" applyNumberFormat="1" applyFont="1" applyFill="1" applyBorder="1" applyAlignment="1" applyProtection="1">
      <alignment vertical="center"/>
      <protection hidden="1"/>
    </xf>
    <xf numFmtId="179" fontId="4" fillId="4" borderId="19" xfId="0" applyNumberFormat="1" applyFont="1" applyFill="1" applyBorder="1" applyAlignment="1" applyProtection="1">
      <alignment vertical="center"/>
      <protection hidden="1"/>
    </xf>
    <xf numFmtId="0" fontId="8" fillId="4" borderId="20" xfId="0" applyNumberFormat="1" applyFont="1" applyFill="1" applyBorder="1" applyAlignment="1" applyProtection="1">
      <alignment vertical="center"/>
      <protection hidden="1"/>
    </xf>
    <xf numFmtId="0" fontId="8" fillId="4" borderId="21" xfId="0" applyNumberFormat="1" applyFont="1" applyFill="1" applyBorder="1" applyAlignment="1" applyProtection="1">
      <alignment vertical="center"/>
      <protection hidden="1"/>
    </xf>
    <xf numFmtId="0" fontId="22" fillId="7" borderId="0" xfId="0" applyFont="1" applyFill="1" applyBorder="1" applyProtection="1">
      <alignment vertical="center"/>
      <protection locked="0"/>
    </xf>
    <xf numFmtId="0" fontId="22" fillId="7" borderId="0" xfId="0" applyFont="1" applyFill="1" applyBorder="1" applyProtection="1">
      <alignment vertical="center"/>
      <protection hidden="1"/>
    </xf>
    <xf numFmtId="0" fontId="23" fillId="7" borderId="0" xfId="0" applyFont="1" applyFill="1" applyBorder="1" applyProtection="1">
      <alignment vertical="center"/>
      <protection hidden="1"/>
    </xf>
    <xf numFmtId="0" fontId="23" fillId="8" borderId="0" xfId="0" applyFont="1" applyFill="1" applyBorder="1" applyAlignment="1" applyProtection="1">
      <alignment horizontal="center" vertical="center"/>
      <protection hidden="1"/>
    </xf>
    <xf numFmtId="0" fontId="23" fillId="8" borderId="0" xfId="0" applyFont="1" applyFill="1" applyBorder="1" applyProtection="1">
      <alignment vertical="center"/>
      <protection hidden="1"/>
    </xf>
    <xf numFmtId="188" fontId="23" fillId="8" borderId="0" xfId="0" applyNumberFormat="1" applyFont="1" applyFill="1" applyBorder="1" applyProtection="1">
      <alignment vertical="center"/>
      <protection hidden="1"/>
    </xf>
    <xf numFmtId="10" fontId="23" fillId="8" borderId="0" xfId="0" applyNumberFormat="1" applyFont="1" applyFill="1" applyBorder="1" applyProtection="1">
      <alignment vertical="center"/>
      <protection hidden="1"/>
    </xf>
    <xf numFmtId="17" fontId="23" fillId="8" borderId="0" xfId="0" applyNumberFormat="1" applyFont="1" applyFill="1" applyBorder="1" applyProtection="1">
      <alignment vertical="center"/>
      <protection hidden="1"/>
    </xf>
    <xf numFmtId="3" fontId="6" fillId="0" borderId="0" xfId="0" applyNumberFormat="1" applyFont="1" applyProtection="1">
      <alignment vertical="center"/>
      <protection hidden="1"/>
    </xf>
    <xf numFmtId="0" fontId="25" fillId="9" borderId="22" xfId="0" applyFont="1" applyFill="1" applyBorder="1" applyAlignment="1">
      <alignment horizontal="center" vertical="center" wrapText="1"/>
    </xf>
    <xf numFmtId="0" fontId="26" fillId="10" borderId="22" xfId="0" applyFont="1" applyFill="1" applyBorder="1" applyAlignment="1">
      <alignment horizontal="center" vertical="center"/>
    </xf>
    <xf numFmtId="3" fontId="26" fillId="10" borderId="22" xfId="0" applyNumberFormat="1" applyFont="1" applyFill="1" applyBorder="1" applyAlignment="1">
      <alignment horizontal="right" vertical="center"/>
    </xf>
    <xf numFmtId="0" fontId="26" fillId="10" borderId="22" xfId="0" applyFont="1" applyFill="1" applyBorder="1" applyAlignment="1">
      <alignment horizontal="right" vertical="center"/>
    </xf>
    <xf numFmtId="0" fontId="25" fillId="9" borderId="23" xfId="0" applyFont="1" applyFill="1" applyBorder="1" applyAlignment="1">
      <alignment horizontal="center" vertical="center" wrapText="1"/>
    </xf>
    <xf numFmtId="0" fontId="25" fillId="9" borderId="24" xfId="0" applyFont="1" applyFill="1" applyBorder="1" applyAlignment="1">
      <alignment horizontal="center" vertical="center" wrapText="1"/>
    </xf>
    <xf numFmtId="3" fontId="0" fillId="0" borderId="0" xfId="0" applyNumberFormat="1">
      <alignment vertical="center"/>
    </xf>
    <xf numFmtId="0" fontId="0" fillId="0" borderId="0" xfId="0" applyFill="1">
      <alignment vertical="center"/>
    </xf>
    <xf numFmtId="3" fontId="26" fillId="11" borderId="22" xfId="0" applyNumberFormat="1" applyFont="1" applyFill="1" applyBorder="1" applyAlignment="1">
      <alignment horizontal="right" vertical="center"/>
    </xf>
    <xf numFmtId="0" fontId="0" fillId="0" borderId="0" xfId="0" quotePrefix="1" applyFill="1">
      <alignment vertical="center"/>
    </xf>
    <xf numFmtId="3" fontId="26" fillId="12" borderId="22" xfId="0" applyNumberFormat="1" applyFont="1" applyFill="1" applyBorder="1" applyAlignment="1">
      <alignment horizontal="right" vertical="center"/>
    </xf>
    <xf numFmtId="3" fontId="26" fillId="13" borderId="22" xfId="0" applyNumberFormat="1" applyFont="1" applyFill="1" applyBorder="1" applyAlignment="1">
      <alignment horizontal="right" vertical="center"/>
    </xf>
    <xf numFmtId="3" fontId="0" fillId="0" borderId="0" xfId="0" applyNumberFormat="1" applyFill="1">
      <alignment vertical="center"/>
    </xf>
    <xf numFmtId="0" fontId="25" fillId="9" borderId="22" xfId="0" applyFont="1" applyFill="1" applyBorder="1" applyAlignment="1">
      <alignment horizontal="center" vertical="center"/>
    </xf>
    <xf numFmtId="10" fontId="0" fillId="0" borderId="0" xfId="4" applyNumberFormat="1" applyFont="1" applyFill="1">
      <alignment vertical="center"/>
    </xf>
    <xf numFmtId="0" fontId="0" fillId="11" borderId="25" xfId="0" applyFill="1" applyBorder="1" applyAlignment="1">
      <alignment horizontal="center" vertical="center"/>
    </xf>
    <xf numFmtId="3" fontId="27" fillId="0" borderId="0" xfId="0" applyNumberFormat="1" applyFont="1">
      <alignment vertical="center"/>
    </xf>
    <xf numFmtId="3" fontId="27" fillId="0" borderId="0" xfId="0" applyNumberFormat="1" applyFont="1" applyFill="1">
      <alignment vertical="center"/>
    </xf>
    <xf numFmtId="10" fontId="27" fillId="0" borderId="0" xfId="4" applyNumberFormat="1" applyFont="1" applyFill="1">
      <alignment vertical="center"/>
    </xf>
    <xf numFmtId="0" fontId="28" fillId="9" borderId="22" xfId="0" applyFont="1" applyFill="1" applyBorder="1" applyAlignment="1">
      <alignment horizontal="center" vertical="center"/>
    </xf>
    <xf numFmtId="179" fontId="4" fillId="15" borderId="2" xfId="0" applyNumberFormat="1" applyFont="1" applyFill="1" applyBorder="1" applyAlignment="1" applyProtection="1">
      <alignment vertical="center"/>
      <protection hidden="1"/>
    </xf>
    <xf numFmtId="176" fontId="4" fillId="15" borderId="2" xfId="0" applyNumberFormat="1" applyFont="1" applyFill="1" applyBorder="1" applyAlignment="1" applyProtection="1">
      <alignment vertical="center"/>
      <protection hidden="1"/>
    </xf>
    <xf numFmtId="176" fontId="4" fillId="16" borderId="2" xfId="0" applyNumberFormat="1" applyFont="1" applyFill="1" applyBorder="1" applyAlignment="1" applyProtection="1">
      <alignment vertical="center"/>
      <protection hidden="1"/>
    </xf>
    <xf numFmtId="179" fontId="4" fillId="16" borderId="2" xfId="0" applyNumberFormat="1" applyFont="1" applyFill="1" applyBorder="1" applyAlignment="1" applyProtection="1">
      <alignment vertical="center"/>
      <protection hidden="1"/>
    </xf>
    <xf numFmtId="179" fontId="7" fillId="16" borderId="2" xfId="0" applyNumberFormat="1" applyFont="1" applyFill="1" applyBorder="1" applyAlignment="1" applyProtection="1">
      <alignment vertical="center"/>
      <protection hidden="1"/>
    </xf>
    <xf numFmtId="176" fontId="4" fillId="17" borderId="2" xfId="0" applyNumberFormat="1" applyFont="1" applyFill="1" applyBorder="1" applyAlignment="1" applyProtection="1">
      <alignment vertical="center"/>
      <protection hidden="1"/>
    </xf>
    <xf numFmtId="179" fontId="4" fillId="17" borderId="2" xfId="0" applyNumberFormat="1" applyFont="1" applyFill="1" applyBorder="1" applyAlignment="1" applyProtection="1">
      <alignment vertical="center"/>
      <protection hidden="1"/>
    </xf>
    <xf numFmtId="176" fontId="4" fillId="18" borderId="17" xfId="0" applyNumberFormat="1" applyFont="1" applyFill="1" applyBorder="1" applyAlignment="1" applyProtection="1">
      <alignment vertical="center"/>
      <protection hidden="1"/>
    </xf>
    <xf numFmtId="179" fontId="4" fillId="18" borderId="19" xfId="0" applyNumberFormat="1" applyFont="1" applyFill="1" applyBorder="1" applyAlignment="1" applyProtection="1">
      <alignment vertical="center"/>
      <protection hidden="1"/>
    </xf>
    <xf numFmtId="176" fontId="4" fillId="18" borderId="2" xfId="0" applyNumberFormat="1" applyFont="1" applyFill="1" applyBorder="1" applyAlignment="1" applyProtection="1">
      <alignment vertical="center"/>
      <protection hidden="1"/>
    </xf>
    <xf numFmtId="179" fontId="4" fillId="18" borderId="2" xfId="0" applyNumberFormat="1" applyFont="1" applyFill="1" applyBorder="1" applyAlignment="1" applyProtection="1">
      <alignment vertical="center"/>
      <protection hidden="1"/>
    </xf>
    <xf numFmtId="176" fontId="4" fillId="18" borderId="13" xfId="0" applyNumberFormat="1" applyFont="1" applyFill="1" applyBorder="1" applyAlignment="1" applyProtection="1">
      <alignment vertical="center"/>
      <protection hidden="1"/>
    </xf>
    <xf numFmtId="0" fontId="0" fillId="19" borderId="25" xfId="0" applyFill="1" applyBorder="1">
      <alignment vertical="center"/>
    </xf>
    <xf numFmtId="0" fontId="0" fillId="20" borderId="25" xfId="0" applyFill="1" applyBorder="1">
      <alignment vertical="center"/>
    </xf>
    <xf numFmtId="0" fontId="0" fillId="20" borderId="0" xfId="0" applyFill="1">
      <alignment vertical="center"/>
    </xf>
    <xf numFmtId="0" fontId="0" fillId="21" borderId="25" xfId="0" applyFill="1" applyBorder="1">
      <alignment vertical="center"/>
    </xf>
    <xf numFmtId="0" fontId="0" fillId="21" borderId="0" xfId="0" applyFill="1">
      <alignment vertical="center"/>
    </xf>
    <xf numFmtId="0" fontId="0" fillId="19" borderId="0" xfId="0" applyFill="1">
      <alignment vertical="center"/>
    </xf>
    <xf numFmtId="0" fontId="0" fillId="14" borderId="25" xfId="0" applyFill="1" applyBorder="1">
      <alignment vertical="center"/>
    </xf>
    <xf numFmtId="0" fontId="0" fillId="14" borderId="0" xfId="0" applyFill="1">
      <alignment vertical="center"/>
    </xf>
    <xf numFmtId="0" fontId="30" fillId="11" borderId="0" xfId="0" applyFont="1" applyFill="1">
      <alignment vertical="center"/>
    </xf>
    <xf numFmtId="0" fontId="0" fillId="22" borderId="25" xfId="0" applyFill="1" applyBorder="1">
      <alignment vertical="center"/>
    </xf>
    <xf numFmtId="0" fontId="25" fillId="9" borderId="23" xfId="0" applyFont="1" applyFill="1" applyBorder="1" applyAlignment="1">
      <alignment horizontal="center" vertical="center" wrapText="1"/>
    </xf>
    <xf numFmtId="0" fontId="25" fillId="9" borderId="24" xfId="0" applyFont="1" applyFill="1" applyBorder="1" applyAlignment="1">
      <alignment horizontal="center" vertical="center" wrapText="1"/>
    </xf>
    <xf numFmtId="0" fontId="26" fillId="23" borderId="22" xfId="0" applyFont="1" applyFill="1" applyBorder="1" applyAlignment="1">
      <alignment horizontal="center" vertical="center"/>
    </xf>
    <xf numFmtId="3" fontId="26" fillId="23" borderId="22" xfId="0" applyNumberFormat="1" applyFont="1" applyFill="1" applyBorder="1" applyAlignment="1">
      <alignment horizontal="right" vertical="center"/>
    </xf>
    <xf numFmtId="0" fontId="26" fillId="23" borderId="22" xfId="0" applyFont="1" applyFill="1" applyBorder="1" applyAlignment="1">
      <alignment horizontal="right" vertical="center"/>
    </xf>
    <xf numFmtId="0" fontId="30" fillId="0" borderId="0" xfId="0" applyFont="1" applyFill="1">
      <alignment vertical="center"/>
    </xf>
    <xf numFmtId="0" fontId="30" fillId="0" borderId="0" xfId="0" applyFont="1">
      <alignment vertical="center"/>
    </xf>
    <xf numFmtId="3" fontId="26" fillId="24" borderId="22" xfId="0" applyNumberFormat="1" applyFont="1" applyFill="1" applyBorder="1" applyAlignment="1">
      <alignment horizontal="right" vertical="center"/>
    </xf>
    <xf numFmtId="0" fontId="25" fillId="25" borderId="23" xfId="0" applyFont="1" applyFill="1" applyBorder="1" applyAlignment="1">
      <alignment horizontal="center" vertical="center" wrapText="1"/>
    </xf>
    <xf numFmtId="0" fontId="25" fillId="25" borderId="24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10" fillId="4" borderId="6" xfId="0" applyNumberFormat="1" applyFont="1" applyFill="1" applyBorder="1" applyAlignment="1" applyProtection="1">
      <alignment horizontal="center" vertical="center"/>
      <protection hidden="1"/>
    </xf>
    <xf numFmtId="0" fontId="10" fillId="4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 vertical="center"/>
      <protection hidden="1"/>
    </xf>
    <xf numFmtId="0" fontId="9" fillId="5" borderId="9" xfId="0" applyNumberFormat="1" applyFont="1" applyFill="1" applyBorder="1" applyAlignment="1" applyProtection="1">
      <alignment horizontal="center" vertical="center"/>
      <protection hidden="1"/>
    </xf>
    <xf numFmtId="0" fontId="9" fillId="5" borderId="4" xfId="0" applyNumberFormat="1" applyFont="1" applyFill="1" applyBorder="1" applyAlignment="1" applyProtection="1">
      <alignment horizontal="center" vertical="center"/>
      <protection hidden="1"/>
    </xf>
    <xf numFmtId="0" fontId="25" fillId="9" borderId="23" xfId="0" applyFont="1" applyFill="1" applyBorder="1" applyAlignment="1">
      <alignment horizontal="center" vertical="center" wrapText="1"/>
    </xf>
    <xf numFmtId="0" fontId="25" fillId="9" borderId="24" xfId="0" applyFont="1" applyFill="1" applyBorder="1" applyAlignment="1">
      <alignment horizontal="center" vertical="center" wrapText="1"/>
    </xf>
    <xf numFmtId="0" fontId="28" fillId="9" borderId="23" xfId="0" applyFont="1" applyFill="1" applyBorder="1" applyAlignment="1">
      <alignment horizontal="center" vertical="center" wrapText="1"/>
    </xf>
    <xf numFmtId="0" fontId="25" fillId="25" borderId="23" xfId="0" applyFont="1" applyFill="1" applyBorder="1" applyAlignment="1">
      <alignment horizontal="center" vertical="center" wrapText="1"/>
    </xf>
    <xf numFmtId="0" fontId="25" fillId="25" borderId="2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9" fillId="25" borderId="23" xfId="0" applyFont="1" applyFill="1" applyBorder="1" applyAlignment="1">
      <alignment horizontal="center" vertical="center" wrapText="1"/>
    </xf>
    <xf numFmtId="0" fontId="29" fillId="25" borderId="24" xfId="0" applyFont="1" applyFill="1" applyBorder="1" applyAlignment="1">
      <alignment horizontal="center" vertical="center" wrapText="1"/>
    </xf>
    <xf numFmtId="0" fontId="29" fillId="0" borderId="23" xfId="0" applyFont="1" applyFill="1" applyBorder="1" applyAlignment="1">
      <alignment horizontal="center" vertical="center" wrapText="1"/>
    </xf>
    <xf numFmtId="0" fontId="32" fillId="0" borderId="37" xfId="0" applyFont="1" applyFill="1" applyBorder="1" applyAlignment="1">
      <alignment horizontal="center" vertical="center" wrapText="1"/>
    </xf>
    <xf numFmtId="0" fontId="0" fillId="0" borderId="28" xfId="0" applyFill="1" applyBorder="1">
      <alignment vertical="center"/>
    </xf>
    <xf numFmtId="0" fontId="29" fillId="0" borderId="24" xfId="0" applyFont="1" applyFill="1" applyBorder="1" applyAlignment="1">
      <alignment horizontal="center" vertical="center" wrapText="1"/>
    </xf>
    <xf numFmtId="0" fontId="32" fillId="0" borderId="38" xfId="0" applyFont="1" applyFill="1" applyBorder="1" applyAlignment="1">
      <alignment horizontal="center" vertical="center" wrapText="1"/>
    </xf>
    <xf numFmtId="0" fontId="0" fillId="0" borderId="35" xfId="0" applyFill="1" applyBorder="1">
      <alignment vertical="center"/>
    </xf>
    <xf numFmtId="0" fontId="0" fillId="0" borderId="26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34" fillId="0" borderId="28" xfId="0" applyFont="1" applyFill="1" applyBorder="1">
      <alignment vertical="center"/>
    </xf>
    <xf numFmtId="0" fontId="34" fillId="0" borderId="35" xfId="0" applyFont="1" applyFill="1" applyBorder="1">
      <alignment vertical="center"/>
    </xf>
    <xf numFmtId="0" fontId="0" fillId="0" borderId="37" xfId="0" applyFill="1" applyBorder="1">
      <alignment vertical="center"/>
    </xf>
    <xf numFmtId="0" fontId="0" fillId="0" borderId="38" xfId="0" applyFill="1" applyBorder="1">
      <alignment vertical="center"/>
    </xf>
    <xf numFmtId="0" fontId="30" fillId="0" borderId="37" xfId="0" applyFont="1" applyFill="1" applyBorder="1">
      <alignment vertical="center"/>
    </xf>
    <xf numFmtId="0" fontId="30" fillId="0" borderId="38" xfId="0" applyFont="1" applyFill="1" applyBorder="1">
      <alignment vertical="center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27" borderId="0" xfId="0" applyFill="1">
      <alignment vertical="center"/>
    </xf>
    <xf numFmtId="0" fontId="30" fillId="27" borderId="0" xfId="0" applyFont="1" applyFill="1">
      <alignment vertical="center"/>
    </xf>
    <xf numFmtId="0" fontId="35" fillId="20" borderId="25" xfId="0" applyFont="1" applyFill="1" applyBorder="1" applyAlignment="1">
      <alignment horizontal="center" vertical="center"/>
    </xf>
    <xf numFmtId="0" fontId="35" fillId="20" borderId="29" xfId="0" applyFont="1" applyFill="1" applyBorder="1" applyAlignment="1">
      <alignment horizontal="center" vertical="center"/>
    </xf>
    <xf numFmtId="0" fontId="35" fillId="20" borderId="30" xfId="0" applyFont="1" applyFill="1" applyBorder="1" applyAlignment="1">
      <alignment horizontal="center" vertical="center"/>
    </xf>
    <xf numFmtId="0" fontId="35" fillId="20" borderId="31" xfId="0" applyFont="1" applyFill="1" applyBorder="1" applyAlignment="1">
      <alignment horizontal="center" vertical="center"/>
    </xf>
    <xf numFmtId="0" fontId="25" fillId="9" borderId="23" xfId="0" applyFont="1" applyFill="1" applyBorder="1" applyAlignment="1">
      <alignment horizontal="center" vertical="center"/>
    </xf>
    <xf numFmtId="0" fontId="25" fillId="9" borderId="23" xfId="0" applyFont="1" applyFill="1" applyBorder="1" applyAlignment="1">
      <alignment horizontal="center" vertical="center"/>
    </xf>
    <xf numFmtId="0" fontId="25" fillId="9" borderId="24" xfId="0" applyFont="1" applyFill="1" applyBorder="1" applyAlignment="1">
      <alignment horizontal="center" vertical="center"/>
    </xf>
    <xf numFmtId="0" fontId="25" fillId="28" borderId="23" xfId="0" applyFont="1" applyFill="1" applyBorder="1" applyAlignment="1">
      <alignment horizontal="center" vertical="center" wrapText="1"/>
    </xf>
    <xf numFmtId="0" fontId="25" fillId="28" borderId="23" xfId="0" applyFont="1" applyFill="1" applyBorder="1" applyAlignment="1">
      <alignment horizontal="center" vertical="center"/>
    </xf>
    <xf numFmtId="0" fontId="25" fillId="28" borderId="24" xfId="0" applyFont="1" applyFill="1" applyBorder="1" applyAlignment="1">
      <alignment horizontal="center" vertical="center" wrapText="1"/>
    </xf>
    <xf numFmtId="0" fontId="25" fillId="28" borderId="24" xfId="0" applyFont="1" applyFill="1" applyBorder="1" applyAlignment="1">
      <alignment horizontal="center" vertical="center"/>
    </xf>
    <xf numFmtId="0" fontId="25" fillId="29" borderId="23" xfId="0" applyFont="1" applyFill="1" applyBorder="1" applyAlignment="1">
      <alignment horizontal="center" vertical="center" wrapText="1"/>
    </xf>
    <xf numFmtId="0" fontId="25" fillId="29" borderId="23" xfId="0" applyFont="1" applyFill="1" applyBorder="1" applyAlignment="1">
      <alignment horizontal="center" vertical="center"/>
    </xf>
    <xf numFmtId="0" fontId="25" fillId="29" borderId="24" xfId="0" applyFont="1" applyFill="1" applyBorder="1" applyAlignment="1">
      <alignment horizontal="center" vertical="center" wrapText="1"/>
    </xf>
    <xf numFmtId="0" fontId="25" fillId="29" borderId="24" xfId="0" applyFont="1" applyFill="1" applyBorder="1" applyAlignment="1">
      <alignment horizontal="center" vertical="center"/>
    </xf>
    <xf numFmtId="0" fontId="25" fillId="30" borderId="23" xfId="0" applyFont="1" applyFill="1" applyBorder="1" applyAlignment="1">
      <alignment horizontal="center" vertical="center" wrapText="1"/>
    </xf>
    <xf numFmtId="0" fontId="25" fillId="30" borderId="23" xfId="0" applyFont="1" applyFill="1" applyBorder="1" applyAlignment="1">
      <alignment horizontal="center" vertical="center"/>
    </xf>
    <xf numFmtId="0" fontId="25" fillId="30" borderId="24" xfId="0" applyFont="1" applyFill="1" applyBorder="1" applyAlignment="1">
      <alignment horizontal="center" vertical="center" wrapText="1"/>
    </xf>
    <xf numFmtId="0" fontId="25" fillId="30" borderId="24" xfId="0" applyFont="1" applyFill="1" applyBorder="1" applyAlignment="1">
      <alignment horizontal="center" vertical="center"/>
    </xf>
    <xf numFmtId="0" fontId="26" fillId="23" borderId="23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6" fillId="0" borderId="39" xfId="0" applyFont="1" applyFill="1" applyBorder="1" applyAlignment="1">
      <alignment horizontal="center" vertical="center"/>
    </xf>
    <xf numFmtId="3" fontId="26" fillId="0" borderId="0" xfId="0" applyNumberFormat="1" applyFont="1" applyFill="1" applyBorder="1" applyAlignment="1">
      <alignment horizontal="right" vertical="center"/>
    </xf>
    <xf numFmtId="0" fontId="26" fillId="0" borderId="0" xfId="0" applyFont="1" applyFill="1" applyBorder="1" applyAlignment="1">
      <alignment horizontal="right" vertical="center"/>
    </xf>
    <xf numFmtId="0" fontId="0" fillId="12" borderId="25" xfId="0" applyFill="1" applyBorder="1">
      <alignment vertical="center"/>
    </xf>
    <xf numFmtId="3" fontId="31" fillId="0" borderId="22" xfId="0" applyNumberFormat="1" applyFont="1" applyFill="1" applyBorder="1" applyAlignment="1">
      <alignment horizontal="right" vertical="center"/>
    </xf>
    <xf numFmtId="0" fontId="31" fillId="0" borderId="22" xfId="0" applyFont="1" applyFill="1" applyBorder="1" applyAlignment="1">
      <alignment horizontal="right" vertical="center"/>
    </xf>
    <xf numFmtId="0" fontId="26" fillId="23" borderId="43" xfId="0" applyFont="1" applyFill="1" applyBorder="1" applyAlignment="1">
      <alignment horizontal="right" vertical="center"/>
    </xf>
    <xf numFmtId="3" fontId="26" fillId="23" borderId="25" xfId="0" applyNumberFormat="1" applyFont="1" applyFill="1" applyBorder="1" applyAlignment="1">
      <alignment horizontal="right" vertical="center"/>
    </xf>
    <xf numFmtId="0" fontId="26" fillId="23" borderId="40" xfId="0" applyFont="1" applyFill="1" applyBorder="1" applyAlignment="1">
      <alignment horizontal="right" vertical="center"/>
    </xf>
    <xf numFmtId="0" fontId="28" fillId="29" borderId="23" xfId="0" applyFont="1" applyFill="1" applyBorder="1" applyAlignment="1">
      <alignment horizontal="center" vertical="center" wrapText="1"/>
    </xf>
    <xf numFmtId="0" fontId="25" fillId="13" borderId="23" xfId="0" applyFont="1" applyFill="1" applyBorder="1" applyAlignment="1">
      <alignment horizontal="center" vertical="center" wrapText="1"/>
    </xf>
    <xf numFmtId="0" fontId="25" fillId="13" borderId="24" xfId="0" applyFont="1" applyFill="1" applyBorder="1" applyAlignment="1">
      <alignment horizontal="center" vertical="center" wrapText="1"/>
    </xf>
    <xf numFmtId="0" fontId="25" fillId="30" borderId="37" xfId="0" applyFont="1" applyFill="1" applyBorder="1" applyAlignment="1">
      <alignment horizontal="center" vertical="center" wrapText="1"/>
    </xf>
    <xf numFmtId="0" fontId="25" fillId="30" borderId="38" xfId="0" applyFont="1" applyFill="1" applyBorder="1" applyAlignment="1">
      <alignment horizontal="center" vertical="center" wrapText="1"/>
    </xf>
    <xf numFmtId="3" fontId="37" fillId="0" borderId="0" xfId="0" applyNumberFormat="1" applyFont="1">
      <alignment vertical="center"/>
    </xf>
    <xf numFmtId="3" fontId="32" fillId="17" borderId="25" xfId="0" applyNumberFormat="1" applyFont="1" applyFill="1" applyBorder="1" applyAlignment="1">
      <alignment horizontal="right" vertical="center"/>
    </xf>
    <xf numFmtId="0" fontId="33" fillId="31" borderId="23" xfId="0" applyFont="1" applyFill="1" applyBorder="1" applyAlignment="1">
      <alignment horizontal="center" vertical="center" wrapText="1"/>
    </xf>
    <xf numFmtId="0" fontId="33" fillId="31" borderId="23" xfId="0" applyFont="1" applyFill="1" applyBorder="1" applyAlignment="1">
      <alignment horizontal="center" vertical="center" wrapText="1"/>
    </xf>
    <xf numFmtId="0" fontId="25" fillId="31" borderId="23" xfId="0" applyFont="1" applyFill="1" applyBorder="1" applyAlignment="1">
      <alignment horizontal="center" vertical="center" wrapText="1"/>
    </xf>
    <xf numFmtId="0" fontId="33" fillId="31" borderId="24" xfId="0" applyFont="1" applyFill="1" applyBorder="1" applyAlignment="1">
      <alignment horizontal="center" vertical="center" wrapText="1"/>
    </xf>
    <xf numFmtId="0" fontId="33" fillId="31" borderId="24" xfId="0" applyFont="1" applyFill="1" applyBorder="1" applyAlignment="1">
      <alignment horizontal="center" vertical="center" wrapText="1"/>
    </xf>
    <xf numFmtId="0" fontId="25" fillId="31" borderId="24" xfId="0" applyFont="1" applyFill="1" applyBorder="1" applyAlignment="1">
      <alignment horizontal="center" vertical="center" wrapText="1"/>
    </xf>
    <xf numFmtId="0" fontId="25" fillId="31" borderId="23" xfId="0" applyFont="1" applyFill="1" applyBorder="1" applyAlignment="1">
      <alignment horizontal="center" vertical="center" wrapText="1"/>
    </xf>
    <xf numFmtId="0" fontId="25" fillId="31" borderId="24" xfId="0" applyFont="1" applyFill="1" applyBorder="1" applyAlignment="1">
      <alignment horizontal="center" vertical="center" wrapText="1"/>
    </xf>
    <xf numFmtId="0" fontId="29" fillId="31" borderId="23" xfId="0" applyFont="1" applyFill="1" applyBorder="1" applyAlignment="1">
      <alignment horizontal="center" vertical="center" wrapText="1"/>
    </xf>
    <xf numFmtId="0" fontId="29" fillId="31" borderId="24" xfId="0" applyFont="1" applyFill="1" applyBorder="1" applyAlignment="1">
      <alignment horizontal="center" vertical="center" wrapText="1"/>
    </xf>
    <xf numFmtId="0" fontId="29" fillId="31" borderId="23" xfId="0" applyFont="1" applyFill="1" applyBorder="1" applyAlignment="1">
      <alignment horizontal="center" vertical="center" wrapText="1"/>
    </xf>
    <xf numFmtId="0" fontId="29" fillId="31" borderId="24" xfId="0" applyFont="1" applyFill="1" applyBorder="1" applyAlignment="1">
      <alignment horizontal="center" vertical="center" wrapText="1"/>
    </xf>
    <xf numFmtId="0" fontId="33" fillId="29" borderId="23" xfId="0" applyFont="1" applyFill="1" applyBorder="1" applyAlignment="1">
      <alignment horizontal="center" vertical="center" wrapText="1"/>
    </xf>
    <xf numFmtId="0" fontId="33" fillId="29" borderId="24" xfId="0" applyFont="1" applyFill="1" applyBorder="1" applyAlignment="1">
      <alignment horizontal="center" vertical="center" wrapText="1"/>
    </xf>
    <xf numFmtId="3" fontId="38" fillId="0" borderId="0" xfId="0" applyNumberFormat="1" applyFont="1">
      <alignment vertical="center"/>
    </xf>
    <xf numFmtId="3" fontId="32" fillId="17" borderId="22" xfId="0" applyNumberFormat="1" applyFont="1" applyFill="1" applyBorder="1" applyAlignment="1">
      <alignment horizontal="right" vertical="center"/>
    </xf>
    <xf numFmtId="0" fontId="25" fillId="9" borderId="44" xfId="0" applyFont="1" applyFill="1" applyBorder="1" applyAlignment="1">
      <alignment horizontal="center" vertical="center" wrapText="1"/>
    </xf>
    <xf numFmtId="0" fontId="25" fillId="9" borderId="45" xfId="0" applyFont="1" applyFill="1" applyBorder="1" applyAlignment="1">
      <alignment horizontal="center" vertical="center" wrapText="1"/>
    </xf>
    <xf numFmtId="0" fontId="28" fillId="30" borderId="37" xfId="0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 wrapText="1"/>
    </xf>
    <xf numFmtId="0" fontId="0" fillId="20" borderId="29" xfId="0" applyFill="1" applyBorder="1" applyAlignment="1">
      <alignment horizontal="center" vertical="center"/>
    </xf>
    <xf numFmtId="0" fontId="0" fillId="20" borderId="31" xfId="0" applyFill="1" applyBorder="1" applyAlignment="1">
      <alignment horizontal="center" vertical="center"/>
    </xf>
    <xf numFmtId="0" fontId="0" fillId="20" borderId="30" xfId="0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>
      <alignment vertical="center"/>
    </xf>
    <xf numFmtId="0" fontId="39" fillId="0" borderId="23" xfId="0" applyFont="1" applyFill="1" applyBorder="1" applyAlignment="1">
      <alignment horizontal="center" vertical="center" wrapText="1"/>
    </xf>
    <xf numFmtId="0" fontId="40" fillId="32" borderId="32" xfId="0" applyFont="1" applyFill="1" applyBorder="1" applyAlignment="1">
      <alignment horizontal="center" vertical="center" wrapText="1"/>
    </xf>
    <xf numFmtId="0" fontId="40" fillId="32" borderId="28" xfId="0" applyFont="1" applyFill="1" applyBorder="1" applyAlignment="1">
      <alignment horizontal="center" vertical="center"/>
    </xf>
    <xf numFmtId="0" fontId="40" fillId="32" borderId="33" xfId="0" applyFont="1" applyFill="1" applyBorder="1" applyAlignment="1">
      <alignment horizontal="center" vertical="center"/>
    </xf>
    <xf numFmtId="0" fontId="40" fillId="32" borderId="46" xfId="0" applyFont="1" applyFill="1" applyBorder="1" applyAlignment="1">
      <alignment horizontal="center" vertical="center"/>
    </xf>
    <xf numFmtId="0" fontId="40" fillId="32" borderId="0" xfId="0" applyFont="1" applyFill="1" applyBorder="1" applyAlignment="1">
      <alignment horizontal="center" vertical="center"/>
    </xf>
    <xf numFmtId="0" fontId="40" fillId="32" borderId="47" xfId="0" applyFont="1" applyFill="1" applyBorder="1" applyAlignment="1">
      <alignment horizontal="center" vertical="center"/>
    </xf>
    <xf numFmtId="0" fontId="40" fillId="32" borderId="34" xfId="0" applyFont="1" applyFill="1" applyBorder="1" applyAlignment="1">
      <alignment horizontal="center" vertical="center"/>
    </xf>
    <xf numFmtId="0" fontId="40" fillId="32" borderId="35" xfId="0" applyFont="1" applyFill="1" applyBorder="1" applyAlignment="1">
      <alignment horizontal="center" vertical="center"/>
    </xf>
    <xf numFmtId="0" fontId="40" fillId="32" borderId="36" xfId="0" applyFont="1" applyFill="1" applyBorder="1" applyAlignment="1">
      <alignment horizontal="center" vertical="center"/>
    </xf>
    <xf numFmtId="0" fontId="29" fillId="30" borderId="23" xfId="0" applyFont="1" applyFill="1" applyBorder="1" applyAlignment="1">
      <alignment horizontal="center" vertical="center"/>
    </xf>
    <xf numFmtId="0" fontId="29" fillId="30" borderId="24" xfId="0" applyFont="1" applyFill="1" applyBorder="1" applyAlignment="1">
      <alignment horizontal="center" vertical="center"/>
    </xf>
    <xf numFmtId="0" fontId="28" fillId="30" borderId="23" xfId="0" applyFont="1" applyFill="1" applyBorder="1" applyAlignment="1">
      <alignment horizontal="center" vertical="center"/>
    </xf>
    <xf numFmtId="3" fontId="26" fillId="0" borderId="0" xfId="0" applyNumberFormat="1" applyFont="1" applyFill="1" applyBorder="1" applyAlignment="1">
      <alignment horizontal="center" vertical="center"/>
    </xf>
    <xf numFmtId="0" fontId="25" fillId="13" borderId="23" xfId="0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2" fontId="26" fillId="0" borderId="0" xfId="0" applyNumberFormat="1" applyFont="1" applyFill="1" applyBorder="1" applyAlignment="1">
      <alignment horizontal="center" vertical="center"/>
    </xf>
    <xf numFmtId="0" fontId="0" fillId="25" borderId="25" xfId="0" applyFill="1" applyBorder="1">
      <alignment vertical="center"/>
    </xf>
    <xf numFmtId="0" fontId="25" fillId="25" borderId="23" xfId="0" applyFont="1" applyFill="1" applyBorder="1" applyAlignment="1">
      <alignment horizontal="center" vertical="center"/>
    </xf>
    <xf numFmtId="0" fontId="25" fillId="25" borderId="24" xfId="0" applyFont="1" applyFill="1" applyBorder="1" applyAlignment="1">
      <alignment horizontal="center" vertical="center"/>
    </xf>
    <xf numFmtId="0" fontId="28" fillId="25" borderId="23" xfId="0" applyFont="1" applyFill="1" applyBorder="1" applyAlignment="1">
      <alignment horizontal="center" vertical="center" wrapText="1"/>
    </xf>
    <xf numFmtId="0" fontId="29" fillId="25" borderId="23" xfId="0" applyFont="1" applyFill="1" applyBorder="1" applyAlignment="1">
      <alignment horizontal="center" vertical="center" wrapText="1"/>
    </xf>
    <xf numFmtId="0" fontId="29" fillId="25" borderId="23" xfId="0" applyFont="1" applyFill="1" applyBorder="1" applyAlignment="1">
      <alignment horizontal="center" vertical="center"/>
    </xf>
    <xf numFmtId="0" fontId="29" fillId="25" borderId="24" xfId="0" applyFont="1" applyFill="1" applyBorder="1" applyAlignment="1">
      <alignment horizontal="center" vertical="center" wrapText="1"/>
    </xf>
    <xf numFmtId="0" fontId="29" fillId="25" borderId="24" xfId="0" applyFont="1" applyFill="1" applyBorder="1" applyAlignment="1">
      <alignment horizontal="center" vertical="center"/>
    </xf>
    <xf numFmtId="0" fontId="29" fillId="29" borderId="23" xfId="0" applyFont="1" applyFill="1" applyBorder="1" applyAlignment="1">
      <alignment horizontal="center" vertical="center"/>
    </xf>
    <xf numFmtId="0" fontId="29" fillId="29" borderId="24" xfId="0" applyFont="1" applyFill="1" applyBorder="1" applyAlignment="1">
      <alignment horizontal="center" vertical="center"/>
    </xf>
    <xf numFmtId="0" fontId="29" fillId="28" borderId="23" xfId="0" applyFont="1" applyFill="1" applyBorder="1" applyAlignment="1">
      <alignment horizontal="center" vertical="center"/>
    </xf>
    <xf numFmtId="0" fontId="29" fillId="28" borderId="24" xfId="0" applyFont="1" applyFill="1" applyBorder="1" applyAlignment="1">
      <alignment horizontal="center" vertical="center"/>
    </xf>
    <xf numFmtId="0" fontId="33" fillId="29" borderId="23" xfId="0" applyFont="1" applyFill="1" applyBorder="1" applyAlignment="1">
      <alignment horizontal="center" vertical="center"/>
    </xf>
    <xf numFmtId="0" fontId="33" fillId="29" borderId="24" xfId="0" applyFont="1" applyFill="1" applyBorder="1" applyAlignment="1">
      <alignment horizontal="center" vertical="center"/>
    </xf>
    <xf numFmtId="0" fontId="28" fillId="29" borderId="23" xfId="0" applyFont="1" applyFill="1" applyBorder="1" applyAlignment="1">
      <alignment horizontal="center" vertical="center"/>
    </xf>
    <xf numFmtId="0" fontId="42" fillId="29" borderId="23" xfId="0" applyFont="1" applyFill="1" applyBorder="1" applyAlignment="1">
      <alignment horizontal="center" vertical="center"/>
    </xf>
    <xf numFmtId="0" fontId="0" fillId="20" borderId="29" xfId="0" applyFill="1" applyBorder="1" applyAlignment="1">
      <alignment horizontal="left" vertical="center"/>
    </xf>
    <xf numFmtId="0" fontId="0" fillId="20" borderId="31" xfId="0" applyFill="1" applyBorder="1" applyAlignment="1">
      <alignment horizontal="left" vertical="center"/>
    </xf>
    <xf numFmtId="0" fontId="0" fillId="20" borderId="30" xfId="0" applyFill="1" applyBorder="1" applyAlignment="1">
      <alignment horizontal="left" vertical="center"/>
    </xf>
    <xf numFmtId="0" fontId="28" fillId="28" borderId="23" xfId="0" applyFont="1" applyFill="1" applyBorder="1" applyAlignment="1">
      <alignment horizontal="center" vertical="center"/>
    </xf>
    <xf numFmtId="0" fontId="33" fillId="28" borderId="23" xfId="0" applyFont="1" applyFill="1" applyBorder="1" applyAlignment="1">
      <alignment horizontal="center" vertical="center"/>
    </xf>
    <xf numFmtId="0" fontId="33" fillId="28" borderId="24" xfId="0" applyFont="1" applyFill="1" applyBorder="1" applyAlignment="1">
      <alignment horizontal="center" vertical="center"/>
    </xf>
    <xf numFmtId="0" fontId="35" fillId="20" borderId="29" xfId="0" applyFont="1" applyFill="1" applyBorder="1" applyAlignment="1">
      <alignment horizontal="left" vertical="center"/>
    </xf>
    <xf numFmtId="0" fontId="35" fillId="20" borderId="31" xfId="0" applyFont="1" applyFill="1" applyBorder="1" applyAlignment="1">
      <alignment horizontal="left" vertical="center"/>
    </xf>
    <xf numFmtId="0" fontId="35" fillId="20" borderId="30" xfId="0" applyFont="1" applyFill="1" applyBorder="1" applyAlignment="1">
      <alignment horizontal="left" vertical="center"/>
    </xf>
    <xf numFmtId="0" fontId="25" fillId="9" borderId="24" xfId="0" applyFont="1" applyFill="1" applyBorder="1" applyAlignment="1">
      <alignment horizontal="center" vertical="center"/>
    </xf>
    <xf numFmtId="0" fontId="26" fillId="10" borderId="22" xfId="0" applyFont="1" applyFill="1" applyBorder="1" applyAlignment="1">
      <alignment horizontal="center" vertical="center" wrapText="1"/>
    </xf>
    <xf numFmtId="3" fontId="26" fillId="10" borderId="22" xfId="0" applyNumberFormat="1" applyFont="1" applyFill="1" applyBorder="1" applyAlignment="1">
      <alignment horizontal="right" vertical="center" wrapText="1"/>
    </xf>
    <xf numFmtId="0" fontId="26" fillId="10" borderId="22" xfId="0" applyFont="1" applyFill="1" applyBorder="1" applyAlignment="1">
      <alignment horizontal="right" vertical="center" wrapText="1"/>
    </xf>
    <xf numFmtId="0" fontId="29" fillId="0" borderId="37" xfId="0" applyFont="1" applyFill="1" applyBorder="1" applyAlignment="1">
      <alignment horizontal="center" vertical="center" wrapText="1"/>
    </xf>
    <xf numFmtId="0" fontId="29" fillId="0" borderId="41" xfId="0" applyFont="1" applyFill="1" applyBorder="1" applyAlignment="1">
      <alignment horizontal="center" vertical="center" wrapText="1"/>
    </xf>
    <xf numFmtId="0" fontId="29" fillId="0" borderId="38" xfId="0" applyFont="1" applyFill="1" applyBorder="1" applyAlignment="1">
      <alignment horizontal="center" vertical="center" wrapText="1"/>
    </xf>
    <xf numFmtId="0" fontId="29" fillId="0" borderId="42" xfId="0" applyFont="1" applyFill="1" applyBorder="1" applyAlignment="1">
      <alignment horizontal="center" vertical="center" wrapText="1"/>
    </xf>
    <xf numFmtId="0" fontId="29" fillId="26" borderId="23" xfId="0" applyFont="1" applyFill="1" applyBorder="1" applyAlignment="1">
      <alignment horizontal="center" vertical="center" wrapText="1"/>
    </xf>
    <xf numFmtId="0" fontId="29" fillId="26" borderId="24" xfId="0" applyFont="1" applyFill="1" applyBorder="1" applyAlignment="1">
      <alignment horizontal="center" vertical="center" wrapText="1"/>
    </xf>
    <xf numFmtId="0" fontId="26" fillId="23" borderId="22" xfId="0" applyFont="1" applyFill="1" applyBorder="1" applyAlignment="1">
      <alignment horizontal="center" vertical="center" wrapText="1"/>
    </xf>
    <xf numFmtId="3" fontId="26" fillId="23" borderId="22" xfId="0" applyNumberFormat="1" applyFont="1" applyFill="1" applyBorder="1" applyAlignment="1">
      <alignment horizontal="right" vertical="center" wrapText="1"/>
    </xf>
    <xf numFmtId="0" fontId="26" fillId="23" borderId="22" xfId="0" applyFont="1" applyFill="1" applyBorder="1" applyAlignment="1">
      <alignment horizontal="right" vertical="center" wrapText="1"/>
    </xf>
    <xf numFmtId="0" fontId="29" fillId="26" borderId="23" xfId="0" applyFont="1" applyFill="1" applyBorder="1" applyAlignment="1">
      <alignment horizontal="center" vertical="center"/>
    </xf>
    <xf numFmtId="0" fontId="29" fillId="26" borderId="24" xfId="0" applyFont="1" applyFill="1" applyBorder="1" applyAlignment="1">
      <alignment horizontal="center" vertical="center"/>
    </xf>
    <xf numFmtId="0" fontId="25" fillId="31" borderId="23" xfId="0" applyFont="1" applyFill="1" applyBorder="1" applyAlignment="1">
      <alignment horizontal="center" vertical="center"/>
    </xf>
    <xf numFmtId="0" fontId="25" fillId="31" borderId="24" xfId="0" applyFont="1" applyFill="1" applyBorder="1" applyAlignment="1">
      <alignment horizontal="center" vertical="center"/>
    </xf>
    <xf numFmtId="4" fontId="26" fillId="23" borderId="22" xfId="0" applyNumberFormat="1" applyFont="1" applyFill="1" applyBorder="1" applyAlignment="1">
      <alignment horizontal="right" vertical="center" wrapText="1"/>
    </xf>
    <xf numFmtId="2" fontId="0" fillId="0" borderId="0" xfId="0" applyNumberFormat="1">
      <alignment vertical="center"/>
    </xf>
  </cellXfs>
  <cellStyles count="5">
    <cellStyle name="一般" xfId="0" builtinId="0"/>
    <cellStyle name="一般 2" xfId="1"/>
    <cellStyle name="一般 3" xfId="2"/>
    <cellStyle name="百分比" xfId="4" builtinId="5"/>
    <cellStyle name="常规_IS_LY_INFRA_NET网络报表_200711 " xfId="3"/>
  </cellStyles>
  <dxfs count="36">
    <dxf>
      <font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6" tint="0.79998168889431442"/>
      </font>
      <fill>
        <gradientFill type="path" left="0.5" right="0.5" top="0.5" bottom="0.5">
          <stop position="0">
            <color theme="0" tint="-5.0965910824915313E-2"/>
          </stop>
          <stop position="1">
            <color theme="6" tint="0.59999389629810485"/>
          </stop>
        </gradientFill>
      </fill>
    </dxf>
    <dxf>
      <font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0000FF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00FF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9" tint="-0.24994659260841701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00FF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6" tint="0.79998168889431442"/>
      </font>
      <fill>
        <gradientFill type="path" left="0.5" right="0.5" top="0.5" bottom="0.5">
          <stop position="0">
            <color theme="0" tint="-5.0965910824915313E-2"/>
          </stop>
          <stop position="1">
            <color theme="6" tint="0.59999389629810485"/>
          </stop>
        </gradientFill>
      </fill>
    </dxf>
    <dxf>
      <font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0000FF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00FF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9" tint="-0.24994659260841701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00FF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 sz="1000" b="0"/>
              <a:t>近四年營收</a:t>
            </a:r>
            <a:endParaRPr lang="en-US" altLang="zh-TW" sz="1000" b="0"/>
          </a:p>
          <a:p>
            <a:pPr>
              <a:defRPr/>
            </a:pPr>
            <a:r>
              <a:rPr lang="en-US" altLang="zh-TW" sz="1000" b="0"/>
              <a:t>(</a:t>
            </a:r>
            <a:r>
              <a:rPr lang="zh-TW" altLang="en-US" sz="1000" b="0"/>
              <a:t>單位</a:t>
            </a:r>
            <a:r>
              <a:rPr lang="en-US" altLang="zh-TW" sz="1000" b="0"/>
              <a:t>:</a:t>
            </a:r>
            <a:r>
              <a:rPr lang="zh-TW" altLang="en-US" sz="1000" b="0"/>
              <a:t>仟元</a:t>
            </a:r>
            <a:r>
              <a:rPr lang="en-US" altLang="zh-TW" sz="1000" b="0"/>
              <a:t>)</a:t>
            </a:r>
            <a:endParaRPr lang="zh-TW" altLang="en-US" sz="1000" b="0"/>
          </a:p>
        </c:rich>
      </c:tx>
      <c:layout>
        <c:manualLayout>
          <c:xMode val="edge"/>
          <c:yMode val="edge"/>
          <c:x val="1.8813505697188947E-2"/>
          <c:y val="3.7080144051761042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主頁!$AC$5</c:f>
              <c:strCache>
                <c:ptCount val="1"/>
                <c:pt idx="0">
                  <c:v>營業收入</c:v>
                </c:pt>
              </c:strCache>
            </c:strRef>
          </c:tx>
          <c:invertIfNegative val="0"/>
          <c:cat>
            <c:strRef>
              <c:f>主頁!$AB$6:$AB$54</c:f>
              <c:strCache>
                <c:ptCount val="49"/>
                <c:pt idx="0">
                  <c:v>101/10</c:v>
                </c:pt>
                <c:pt idx="1">
                  <c:v>101/09</c:v>
                </c:pt>
                <c:pt idx="2">
                  <c:v>101/08</c:v>
                </c:pt>
                <c:pt idx="3">
                  <c:v>101/07</c:v>
                </c:pt>
                <c:pt idx="4">
                  <c:v>101/06</c:v>
                </c:pt>
                <c:pt idx="5">
                  <c:v>101/05</c:v>
                </c:pt>
                <c:pt idx="6">
                  <c:v>101/04</c:v>
                </c:pt>
                <c:pt idx="7">
                  <c:v>101/03</c:v>
                </c:pt>
                <c:pt idx="8">
                  <c:v>101/02</c:v>
                </c:pt>
                <c:pt idx="9">
                  <c:v>101/01</c:v>
                </c:pt>
                <c:pt idx="10">
                  <c:v>100/12</c:v>
                </c:pt>
                <c:pt idx="11">
                  <c:v>100/11</c:v>
                </c:pt>
                <c:pt idx="12">
                  <c:v>100/10</c:v>
                </c:pt>
                <c:pt idx="13">
                  <c:v>100/09</c:v>
                </c:pt>
                <c:pt idx="14">
                  <c:v>100/08</c:v>
                </c:pt>
                <c:pt idx="15">
                  <c:v>100/07</c:v>
                </c:pt>
                <c:pt idx="16">
                  <c:v>100/06</c:v>
                </c:pt>
                <c:pt idx="17">
                  <c:v>100/05</c:v>
                </c:pt>
                <c:pt idx="18">
                  <c:v>100/04</c:v>
                </c:pt>
                <c:pt idx="19">
                  <c:v>100/03</c:v>
                </c:pt>
                <c:pt idx="20">
                  <c:v>100/02</c:v>
                </c:pt>
                <c:pt idx="21">
                  <c:v>100/01</c:v>
                </c:pt>
                <c:pt idx="22">
                  <c:v>Dec-99</c:v>
                </c:pt>
                <c:pt idx="23">
                  <c:v>Nov-99</c:v>
                </c:pt>
                <c:pt idx="24">
                  <c:v>Oct-99</c:v>
                </c:pt>
                <c:pt idx="25">
                  <c:v>Sep-99</c:v>
                </c:pt>
                <c:pt idx="26">
                  <c:v>Aug-99</c:v>
                </c:pt>
                <c:pt idx="27">
                  <c:v>Jul-99</c:v>
                </c:pt>
                <c:pt idx="28">
                  <c:v>Jun-99</c:v>
                </c:pt>
                <c:pt idx="29">
                  <c:v>May-99</c:v>
                </c:pt>
                <c:pt idx="30">
                  <c:v>Apr-99</c:v>
                </c:pt>
                <c:pt idx="31">
                  <c:v>Mar-99</c:v>
                </c:pt>
                <c:pt idx="32">
                  <c:v>Feb-99</c:v>
                </c:pt>
                <c:pt idx="33">
                  <c:v>Jan-99</c:v>
                </c:pt>
                <c:pt idx="34">
                  <c:v>Dec-98</c:v>
                </c:pt>
                <c:pt idx="35">
                  <c:v>Nov-98</c:v>
                </c:pt>
                <c:pt idx="36">
                  <c:v>Oct-98</c:v>
                </c:pt>
                <c:pt idx="37">
                  <c:v>Sep-98</c:v>
                </c:pt>
                <c:pt idx="38">
                  <c:v>Aug-98</c:v>
                </c:pt>
                <c:pt idx="39">
                  <c:v>Jul-98</c:v>
                </c:pt>
                <c:pt idx="40">
                  <c:v>Jun-98</c:v>
                </c:pt>
                <c:pt idx="41">
                  <c:v>May-98</c:v>
                </c:pt>
                <c:pt idx="42">
                  <c:v>Apr-98</c:v>
                </c:pt>
                <c:pt idx="43">
                  <c:v>Mar-98</c:v>
                </c:pt>
                <c:pt idx="44">
                  <c:v>Feb-98</c:v>
                </c:pt>
                <c:pt idx="45">
                  <c:v>Jan-98</c:v>
                </c:pt>
                <c:pt idx="46">
                  <c:v>Dec-97</c:v>
                </c:pt>
                <c:pt idx="47">
                  <c:v>Nov-97</c:v>
                </c:pt>
                <c:pt idx="48">
                  <c:v>Oct-97</c:v>
                </c:pt>
              </c:strCache>
            </c:strRef>
          </c:cat>
          <c:val>
            <c:numRef>
              <c:f>主頁!$AC$6:$AC$54</c:f>
              <c:numCache>
                <c:formatCode>#,##0_);[Red]\(#,##0\)</c:formatCode>
                <c:ptCount val="49"/>
                <c:pt idx="0">
                  <c:v>49282571</c:v>
                </c:pt>
                <c:pt idx="1">
                  <c:v>42816800</c:v>
                </c:pt>
                <c:pt idx="2">
                  <c:v>48896013</c:v>
                </c:pt>
                <c:pt idx="3">
                  <c:v>47924170</c:v>
                </c:pt>
                <c:pt idx="4">
                  <c:v>42869733</c:v>
                </c:pt>
                <c:pt idx="5">
                  <c:v>43623222</c:v>
                </c:pt>
                <c:pt idx="6">
                  <c:v>40007591</c:v>
                </c:pt>
                <c:pt idx="7">
                  <c:v>36611146</c:v>
                </c:pt>
                <c:pt idx="8">
                  <c:v>33584499</c:v>
                </c:pt>
                <c:pt idx="9">
                  <c:v>34053091</c:v>
                </c:pt>
                <c:pt idx="10">
                  <c:v>30566947</c:v>
                </c:pt>
                <c:pt idx="11">
                  <c:v>35218771</c:v>
                </c:pt>
                <c:pt idx="12">
                  <c:v>37246661</c:v>
                </c:pt>
                <c:pt idx="13">
                  <c:v>32860849</c:v>
                </c:pt>
                <c:pt idx="14">
                  <c:v>37041705</c:v>
                </c:pt>
                <c:pt idx="15">
                  <c:v>34916788</c:v>
                </c:pt>
                <c:pt idx="16">
                  <c:v>35653939</c:v>
                </c:pt>
                <c:pt idx="17">
                  <c:v>35960997</c:v>
                </c:pt>
                <c:pt idx="18">
                  <c:v>36230359</c:v>
                </c:pt>
                <c:pt idx="19">
                  <c:v>36370479</c:v>
                </c:pt>
                <c:pt idx="20">
                  <c:v>31753825</c:v>
                </c:pt>
                <c:pt idx="21">
                  <c:v>34424173</c:v>
                </c:pt>
                <c:pt idx="22">
                  <c:v>33751175</c:v>
                </c:pt>
                <c:pt idx="23">
                  <c:v>35722299</c:v>
                </c:pt>
                <c:pt idx="24">
                  <c:v>37372507</c:v>
                </c:pt>
                <c:pt idx="25">
                  <c:v>36652584</c:v>
                </c:pt>
                <c:pt idx="26">
                  <c:v>36498090</c:v>
                </c:pt>
                <c:pt idx="27">
                  <c:v>36156392</c:v>
                </c:pt>
                <c:pt idx="28">
                  <c:v>35113042</c:v>
                </c:pt>
                <c:pt idx="29">
                  <c:v>33839484</c:v>
                </c:pt>
                <c:pt idx="30">
                  <c:v>32683232</c:v>
                </c:pt>
                <c:pt idx="31">
                  <c:v>30823003</c:v>
                </c:pt>
                <c:pt idx="32">
                  <c:v>29195234</c:v>
                </c:pt>
                <c:pt idx="33">
                  <c:v>29156271</c:v>
                </c:pt>
                <c:pt idx="34">
                  <c:v>30466359</c:v>
                </c:pt>
                <c:pt idx="35">
                  <c:v>29349036</c:v>
                </c:pt>
                <c:pt idx="36">
                  <c:v>29180950</c:v>
                </c:pt>
                <c:pt idx="37">
                  <c:v>28024082</c:v>
                </c:pt>
                <c:pt idx="38">
                  <c:v>28887650</c:v>
                </c:pt>
                <c:pt idx="39">
                  <c:v>30278581</c:v>
                </c:pt>
                <c:pt idx="40">
                  <c:v>25777846</c:v>
                </c:pt>
                <c:pt idx="41">
                  <c:v>24473921</c:v>
                </c:pt>
                <c:pt idx="42">
                  <c:v>21744749</c:v>
                </c:pt>
                <c:pt idx="43">
                  <c:v>13619497</c:v>
                </c:pt>
                <c:pt idx="44">
                  <c:v>11503819</c:v>
                </c:pt>
                <c:pt idx="45">
                  <c:v>12436378</c:v>
                </c:pt>
                <c:pt idx="46">
                  <c:v>13160762</c:v>
                </c:pt>
                <c:pt idx="47">
                  <c:v>19294770</c:v>
                </c:pt>
                <c:pt idx="48">
                  <c:v>28370678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C5-413B-998E-F34F6D38B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268992"/>
        <c:axId val="131270528"/>
      </c:barChart>
      <c:catAx>
        <c:axId val="13126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1270528"/>
        <c:crosses val="autoZero"/>
        <c:auto val="1"/>
        <c:lblAlgn val="ctr"/>
        <c:lblOffset val="100"/>
        <c:noMultiLvlLbl val="0"/>
      </c:catAx>
      <c:valAx>
        <c:axId val="131270528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131268992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 sz="1000" b="0"/>
              <a:t>近四年營收</a:t>
            </a:r>
            <a:endParaRPr lang="en-US" altLang="zh-TW" sz="1000" b="0"/>
          </a:p>
          <a:p>
            <a:pPr>
              <a:defRPr/>
            </a:pPr>
            <a:r>
              <a:rPr lang="en-US" altLang="zh-TW" sz="1000" b="0"/>
              <a:t>(</a:t>
            </a:r>
            <a:r>
              <a:rPr lang="zh-TW" altLang="en-US" sz="1000" b="0"/>
              <a:t>單位</a:t>
            </a:r>
            <a:r>
              <a:rPr lang="en-US" altLang="zh-TW" sz="1000" b="0"/>
              <a:t>:</a:t>
            </a:r>
            <a:r>
              <a:rPr lang="zh-TW" altLang="en-US" sz="1000" b="0"/>
              <a:t>仟元</a:t>
            </a:r>
            <a:r>
              <a:rPr lang="en-US" altLang="zh-TW" sz="1000" b="0"/>
              <a:t>)</a:t>
            </a:r>
            <a:endParaRPr lang="zh-TW" altLang="en-US" sz="1000" b="0"/>
          </a:p>
        </c:rich>
      </c:tx>
      <c:layout>
        <c:manualLayout>
          <c:xMode val="edge"/>
          <c:yMode val="edge"/>
          <c:x val="1.8813505697188947E-2"/>
          <c:y val="3.7080144051761042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主頁!$AC$5</c:f>
              <c:strCache>
                <c:ptCount val="1"/>
                <c:pt idx="0">
                  <c:v>營業收入</c:v>
                </c:pt>
              </c:strCache>
            </c:strRef>
          </c:tx>
          <c:invertIfNegative val="0"/>
          <c:cat>
            <c:strRef>
              <c:f>主頁!$AB$6:$AB$54</c:f>
              <c:strCache>
                <c:ptCount val="49"/>
                <c:pt idx="0">
                  <c:v>101/10</c:v>
                </c:pt>
                <c:pt idx="1">
                  <c:v>101/09</c:v>
                </c:pt>
                <c:pt idx="2">
                  <c:v>101/08</c:v>
                </c:pt>
                <c:pt idx="3">
                  <c:v>101/07</c:v>
                </c:pt>
                <c:pt idx="4">
                  <c:v>101/06</c:v>
                </c:pt>
                <c:pt idx="5">
                  <c:v>101/05</c:v>
                </c:pt>
                <c:pt idx="6">
                  <c:v>101/04</c:v>
                </c:pt>
                <c:pt idx="7">
                  <c:v>101/03</c:v>
                </c:pt>
                <c:pt idx="8">
                  <c:v>101/02</c:v>
                </c:pt>
                <c:pt idx="9">
                  <c:v>101/01</c:v>
                </c:pt>
                <c:pt idx="10">
                  <c:v>100/12</c:v>
                </c:pt>
                <c:pt idx="11">
                  <c:v>100/11</c:v>
                </c:pt>
                <c:pt idx="12">
                  <c:v>100/10</c:v>
                </c:pt>
                <c:pt idx="13">
                  <c:v>100/09</c:v>
                </c:pt>
                <c:pt idx="14">
                  <c:v>100/08</c:v>
                </c:pt>
                <c:pt idx="15">
                  <c:v>100/07</c:v>
                </c:pt>
                <c:pt idx="16">
                  <c:v>100/06</c:v>
                </c:pt>
                <c:pt idx="17">
                  <c:v>100/05</c:v>
                </c:pt>
                <c:pt idx="18">
                  <c:v>100/04</c:v>
                </c:pt>
                <c:pt idx="19">
                  <c:v>100/03</c:v>
                </c:pt>
                <c:pt idx="20">
                  <c:v>100/02</c:v>
                </c:pt>
                <c:pt idx="21">
                  <c:v>100/01</c:v>
                </c:pt>
                <c:pt idx="22">
                  <c:v>Dec-99</c:v>
                </c:pt>
                <c:pt idx="23">
                  <c:v>Nov-99</c:v>
                </c:pt>
                <c:pt idx="24">
                  <c:v>Oct-99</c:v>
                </c:pt>
                <c:pt idx="25">
                  <c:v>Sep-99</c:v>
                </c:pt>
                <c:pt idx="26">
                  <c:v>Aug-99</c:v>
                </c:pt>
                <c:pt idx="27">
                  <c:v>Jul-99</c:v>
                </c:pt>
                <c:pt idx="28">
                  <c:v>Jun-99</c:v>
                </c:pt>
                <c:pt idx="29">
                  <c:v>May-99</c:v>
                </c:pt>
                <c:pt idx="30">
                  <c:v>Apr-99</c:v>
                </c:pt>
                <c:pt idx="31">
                  <c:v>Mar-99</c:v>
                </c:pt>
                <c:pt idx="32">
                  <c:v>Feb-99</c:v>
                </c:pt>
                <c:pt idx="33">
                  <c:v>Jan-99</c:v>
                </c:pt>
                <c:pt idx="34">
                  <c:v>Dec-98</c:v>
                </c:pt>
                <c:pt idx="35">
                  <c:v>Nov-98</c:v>
                </c:pt>
                <c:pt idx="36">
                  <c:v>Oct-98</c:v>
                </c:pt>
                <c:pt idx="37">
                  <c:v>Sep-98</c:v>
                </c:pt>
                <c:pt idx="38">
                  <c:v>Aug-98</c:v>
                </c:pt>
                <c:pt idx="39">
                  <c:v>Jul-98</c:v>
                </c:pt>
                <c:pt idx="40">
                  <c:v>Jun-98</c:v>
                </c:pt>
                <c:pt idx="41">
                  <c:v>May-98</c:v>
                </c:pt>
                <c:pt idx="42">
                  <c:v>Apr-98</c:v>
                </c:pt>
                <c:pt idx="43">
                  <c:v>Mar-98</c:v>
                </c:pt>
                <c:pt idx="44">
                  <c:v>Feb-98</c:v>
                </c:pt>
                <c:pt idx="45">
                  <c:v>Jan-98</c:v>
                </c:pt>
                <c:pt idx="46">
                  <c:v>Dec-97</c:v>
                </c:pt>
                <c:pt idx="47">
                  <c:v>Nov-97</c:v>
                </c:pt>
                <c:pt idx="48">
                  <c:v>Oct-97</c:v>
                </c:pt>
              </c:strCache>
            </c:strRef>
          </c:cat>
          <c:val>
            <c:numRef>
              <c:f>主頁!$AC$6:$AC$54</c:f>
              <c:numCache>
                <c:formatCode>#,##0_);[Red]\(#,##0\)</c:formatCode>
                <c:ptCount val="49"/>
                <c:pt idx="0">
                  <c:v>49282571</c:v>
                </c:pt>
                <c:pt idx="1">
                  <c:v>42816800</c:v>
                </c:pt>
                <c:pt idx="2">
                  <c:v>48896013</c:v>
                </c:pt>
                <c:pt idx="3">
                  <c:v>47924170</c:v>
                </c:pt>
                <c:pt idx="4">
                  <c:v>42869733</c:v>
                </c:pt>
                <c:pt idx="5">
                  <c:v>43623222</c:v>
                </c:pt>
                <c:pt idx="6">
                  <c:v>40007591</c:v>
                </c:pt>
                <c:pt idx="7">
                  <c:v>36611146</c:v>
                </c:pt>
                <c:pt idx="8">
                  <c:v>33584499</c:v>
                </c:pt>
                <c:pt idx="9">
                  <c:v>34053091</c:v>
                </c:pt>
                <c:pt idx="10">
                  <c:v>30566947</c:v>
                </c:pt>
                <c:pt idx="11">
                  <c:v>35218771</c:v>
                </c:pt>
                <c:pt idx="12">
                  <c:v>37246661</c:v>
                </c:pt>
                <c:pt idx="13">
                  <c:v>32860849</c:v>
                </c:pt>
                <c:pt idx="14">
                  <c:v>37041705</c:v>
                </c:pt>
                <c:pt idx="15">
                  <c:v>34916788</c:v>
                </c:pt>
                <c:pt idx="16">
                  <c:v>35653939</c:v>
                </c:pt>
                <c:pt idx="17">
                  <c:v>35960997</c:v>
                </c:pt>
                <c:pt idx="18">
                  <c:v>36230359</c:v>
                </c:pt>
                <c:pt idx="19">
                  <c:v>36370479</c:v>
                </c:pt>
                <c:pt idx="20">
                  <c:v>31753825</c:v>
                </c:pt>
                <c:pt idx="21">
                  <c:v>34424173</c:v>
                </c:pt>
                <c:pt idx="22">
                  <c:v>33751175</c:v>
                </c:pt>
                <c:pt idx="23">
                  <c:v>35722299</c:v>
                </c:pt>
                <c:pt idx="24">
                  <c:v>37372507</c:v>
                </c:pt>
                <c:pt idx="25">
                  <c:v>36652584</c:v>
                </c:pt>
                <c:pt idx="26">
                  <c:v>36498090</c:v>
                </c:pt>
                <c:pt idx="27">
                  <c:v>36156392</c:v>
                </c:pt>
                <c:pt idx="28">
                  <c:v>35113042</c:v>
                </c:pt>
                <c:pt idx="29">
                  <c:v>33839484</c:v>
                </c:pt>
                <c:pt idx="30">
                  <c:v>32683232</c:v>
                </c:pt>
                <c:pt idx="31">
                  <c:v>30823003</c:v>
                </c:pt>
                <c:pt idx="32">
                  <c:v>29195234</c:v>
                </c:pt>
                <c:pt idx="33">
                  <c:v>29156271</c:v>
                </c:pt>
                <c:pt idx="34">
                  <c:v>30466359</c:v>
                </c:pt>
                <c:pt idx="35">
                  <c:v>29349036</c:v>
                </c:pt>
                <c:pt idx="36">
                  <c:v>29180950</c:v>
                </c:pt>
                <c:pt idx="37">
                  <c:v>28024082</c:v>
                </c:pt>
                <c:pt idx="38">
                  <c:v>28887650</c:v>
                </c:pt>
                <c:pt idx="39">
                  <c:v>30278581</c:v>
                </c:pt>
                <c:pt idx="40">
                  <c:v>25777846</c:v>
                </c:pt>
                <c:pt idx="41">
                  <c:v>24473921</c:v>
                </c:pt>
                <c:pt idx="42">
                  <c:v>21744749</c:v>
                </c:pt>
                <c:pt idx="43">
                  <c:v>13619497</c:v>
                </c:pt>
                <c:pt idx="44">
                  <c:v>11503819</c:v>
                </c:pt>
                <c:pt idx="45">
                  <c:v>12436378</c:v>
                </c:pt>
                <c:pt idx="46">
                  <c:v>13160762</c:v>
                </c:pt>
                <c:pt idx="47">
                  <c:v>19294770</c:v>
                </c:pt>
                <c:pt idx="48">
                  <c:v>28370678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A-4429-B45B-F844EC61D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268992"/>
        <c:axId val="131270528"/>
      </c:barChart>
      <c:catAx>
        <c:axId val="13126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1270528"/>
        <c:crosses val="autoZero"/>
        <c:auto val="1"/>
        <c:lblAlgn val="ctr"/>
        <c:lblOffset val="100"/>
        <c:noMultiLvlLbl val="0"/>
      </c:catAx>
      <c:valAx>
        <c:axId val="131270528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131268992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85725</xdr:colOff>
      <xdr:row>2</xdr:row>
      <xdr:rowOff>0</xdr:rowOff>
    </xdr:from>
    <xdr:to>
      <xdr:col>26</xdr:col>
      <xdr:colOff>676275</xdr:colOff>
      <xdr:row>17</xdr:row>
      <xdr:rowOff>85724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85725</xdr:colOff>
      <xdr:row>2</xdr:row>
      <xdr:rowOff>0</xdr:rowOff>
    </xdr:from>
    <xdr:to>
      <xdr:col>26</xdr:col>
      <xdr:colOff>676275</xdr:colOff>
      <xdr:row>17</xdr:row>
      <xdr:rowOff>85724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Q326"/>
  <sheetViews>
    <sheetView showGridLines="0" topLeftCell="A9" workbookViewId="0">
      <selection activeCell="B23" sqref="B23"/>
    </sheetView>
  </sheetViews>
  <sheetFormatPr defaultRowHeight="16.5"/>
  <cols>
    <col min="1" max="1" width="17.5" style="2" customWidth="1"/>
    <col min="2" max="9" width="8" style="2" customWidth="1"/>
    <col min="10" max="10" width="17.5" style="2" customWidth="1"/>
    <col min="11" max="18" width="8" style="2" customWidth="1"/>
    <col min="19" max="19" width="1.25" style="2" customWidth="1"/>
    <col min="20" max="26" width="9" style="2"/>
    <col min="27" max="27" width="9" style="101"/>
    <col min="28" max="32" width="0.125" style="101" customWidth="1"/>
    <col min="33" max="34" width="0.125" style="2" customWidth="1"/>
    <col min="35" max="16384" width="9" style="2"/>
  </cols>
  <sheetData>
    <row r="1" spans="1:43">
      <c r="A1" s="165" t="s">
        <v>251</v>
      </c>
      <c r="B1" s="165"/>
      <c r="C1" s="2">
        <v>2330</v>
      </c>
      <c r="S1" s="66"/>
      <c r="T1" s="66"/>
      <c r="U1" s="66"/>
      <c r="V1" s="66"/>
      <c r="W1" s="66"/>
      <c r="X1" s="66"/>
      <c r="Y1" s="66"/>
      <c r="Z1" s="66"/>
      <c r="AA1" s="102"/>
      <c r="AB1" s="102"/>
      <c r="AC1" s="102"/>
      <c r="AD1" s="102"/>
      <c r="AE1" s="102"/>
      <c r="AF1" s="102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</row>
    <row r="2" spans="1:43">
      <c r="A2" s="57" t="s">
        <v>226</v>
      </c>
      <c r="B2" s="58">
        <f>C1</f>
        <v>2330</v>
      </c>
      <c r="C2" s="166" t="str">
        <f>VLOOKUP(B2,code!A$2:B$935,2,FALSE)</f>
        <v>台積電</v>
      </c>
      <c r="D2" s="166"/>
      <c r="E2" s="87" t="s">
        <v>252</v>
      </c>
      <c r="F2" s="55" t="str">
        <f>VLOOKUP($C2,Y!$C$1:$R$48345,4,FALSE)</f>
        <v>晶圓92.23%、其他6.81%、包裝元件0.97%</v>
      </c>
      <c r="G2" s="56"/>
      <c r="H2" s="56"/>
      <c r="I2" s="56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102"/>
      <c r="AB2" s="102"/>
      <c r="AC2" s="102"/>
      <c r="AD2" s="102"/>
      <c r="AE2" s="102"/>
      <c r="AF2" s="102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</row>
    <row r="3" spans="1:43">
      <c r="A3" s="5" t="s">
        <v>2</v>
      </c>
      <c r="B3" s="5">
        <f ca="1">OFFSET(Y!$A$11,MATCH($C$2,Y!$C$11:$C48345,0),1)</f>
        <v>100</v>
      </c>
      <c r="C3" s="5">
        <f ca="1">OFFSET(Y!$A$12,MATCH($C$2,Y!$C$11:$C$48345,0),1)</f>
        <v>99</v>
      </c>
      <c r="D3" s="5">
        <f ca="1">OFFSET(Y!$A$13,MATCH($C$2,Y!$C$11:$C$48345,0),1)</f>
        <v>98</v>
      </c>
      <c r="E3" s="5">
        <f ca="1">OFFSET(Y!$A$14,MATCH($C$2,Y!$C$11:$C$48345,0),1)</f>
        <v>97</v>
      </c>
      <c r="F3" s="5">
        <f ca="1">OFFSET(Y!$A$15,MATCH($C$2,Y!$C$11:$C$48345,0),1)</f>
        <v>96</v>
      </c>
      <c r="G3" s="5">
        <f ca="1">OFFSET(Y!$A$16,MATCH($C$2,Y!$C$11:$C$48345,0),1)</f>
        <v>95</v>
      </c>
      <c r="H3" s="5">
        <f ca="1">OFFSET(Y!$A$17,MATCH($C$2,Y!$C$11:$C$48345,0),1)</f>
        <v>94</v>
      </c>
      <c r="I3" s="5">
        <f ca="1">OFFSET(Y!$A$18,MATCH($C$2,Y!$C$11:$C$48345,0),1)</f>
        <v>93</v>
      </c>
      <c r="J3" s="6" t="s">
        <v>3</v>
      </c>
      <c r="K3" s="6" t="str">
        <f ca="1">OFFSET(S!$A$11,MATCH($C$2,S!$C$11:$C$47348,0),1)</f>
        <v>101.3Q</v>
      </c>
      <c r="L3" s="6" t="str">
        <f ca="1">OFFSET(S!$A$12,MATCH($C$2,S!$C$11:$C$47348,0),1)</f>
        <v>101.2Q</v>
      </c>
      <c r="M3" s="6" t="str">
        <f ca="1">OFFSET(S!$A$13,MATCH($C$2,S!$C$11:$C$47348,0),1)</f>
        <v>101.1Q</v>
      </c>
      <c r="N3" s="6" t="str">
        <f ca="1">OFFSET(S!$A$14,MATCH($C$2,S!$C$11:$C$47348,0),1)</f>
        <v>100.4Q</v>
      </c>
      <c r="O3" s="6" t="str">
        <f ca="1">OFFSET(S!$A$15,MATCH($C$2,S!$C$11:$C$47348,0),1)</f>
        <v>100.3Q</v>
      </c>
      <c r="P3" s="6" t="str">
        <f ca="1">OFFSET(S!$A$16,MATCH($C$2,S!$C$11:$C$47348,0),1)</f>
        <v>100.2Q</v>
      </c>
      <c r="Q3" s="6" t="str">
        <f ca="1">OFFSET(S!$A$17,MATCH($C$2,S!$C$11:$C$47348,0),1)</f>
        <v>100.1Q</v>
      </c>
      <c r="R3" s="6" t="str">
        <f ca="1">OFFSET(S!$A$18,MATCH($C$2,S!$C$11:$C$47348,0),1)</f>
        <v>99.4Q</v>
      </c>
      <c r="S3" s="4"/>
      <c r="T3" s="4"/>
      <c r="U3" s="4"/>
      <c r="V3" s="4"/>
      <c r="W3" s="4"/>
      <c r="X3" s="4"/>
      <c r="Y3" s="4"/>
      <c r="Z3" s="4"/>
      <c r="AA3" s="102"/>
      <c r="AB3" s="103"/>
      <c r="AC3" s="103"/>
      <c r="AD3" s="103"/>
      <c r="AE3" s="103"/>
      <c r="AF3" s="102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</row>
    <row r="4" spans="1:43">
      <c r="A4" s="7" t="s">
        <v>8</v>
      </c>
      <c r="B4" s="73">
        <f ca="1">OFFSET(Y!$A$11,MATCH($C$2,Y!$C$11:$C$48345,0),2)</f>
        <v>22.3</v>
      </c>
      <c r="C4" s="73">
        <f ca="1">OFFSET(Y!$A$12,MATCH($C$2,Y!$C$11:$C$48345,0),2)</f>
        <v>30.23</v>
      </c>
      <c r="D4" s="73">
        <f ca="1">OFFSET(Y!$A$13,MATCH($C$2,Y!$C$11:$C$48345,0),2)</f>
        <v>18.37</v>
      </c>
      <c r="E4" s="73">
        <f ca="1">OFFSET(Y!$A$14,MATCH($C$2,Y!$C$11:$C$48345,0),2)</f>
        <v>20.74</v>
      </c>
      <c r="F4" s="73">
        <f ca="1">OFFSET(Y!$A$15,MATCH($C$2,Y!$C$11:$C$48345,0),2)</f>
        <v>21.94</v>
      </c>
      <c r="G4" s="73">
        <f ca="1">OFFSET(Y!$A$16,MATCH($C$2,Y!$C$11:$C$48345,0),2)</f>
        <v>26.69</v>
      </c>
      <c r="H4" s="73">
        <f ca="1">OFFSET(Y!$A$17,MATCH($C$2,Y!$C$11:$C$48345,0),2)</f>
        <v>22.16</v>
      </c>
      <c r="I4" s="73">
        <f ca="1">OFFSET(Y!$A$18,MATCH($C$2,Y!$C$11:$C$48345,0),2)</f>
        <v>25.36</v>
      </c>
      <c r="J4" s="7" t="s">
        <v>8</v>
      </c>
      <c r="K4" s="73">
        <f ca="1">OFFSET(S!$A$11,MATCH($C$2,S!$C$11:$C$47348,0),2)</f>
        <v>7.57</v>
      </c>
      <c r="L4" s="73">
        <f ca="1">OFFSET(S!$A$12,MATCH($C$2,S!$C$11:$C$47348,0),2)</f>
        <v>6.49</v>
      </c>
      <c r="M4" s="73">
        <f ca="1">OFFSET(S!$A$13,MATCH($C$2,S!$C$11:$C$47348,0),2)</f>
        <v>5.19</v>
      </c>
      <c r="N4" s="73">
        <f ca="1">OFFSET(S!$A$14,MATCH($C$2,S!$C$11:$C$47348,0),2)</f>
        <v>5.14</v>
      </c>
      <c r="O4" s="73">
        <f ca="1">OFFSET(S!$A$15,MATCH($C$2,S!$C$11:$C$47348,0),2)</f>
        <v>5.23</v>
      </c>
      <c r="P4" s="73">
        <f ca="1">OFFSET(S!$A$16,MATCH($C$2,S!$C$11:$C$47348,0),2)</f>
        <v>6.14</v>
      </c>
      <c r="Q4" s="73">
        <f ca="1">OFFSET(S!$A$17,MATCH($C$2,S!$C$11:$C$47348,0),2)</f>
        <v>6.14</v>
      </c>
      <c r="R4" s="73">
        <f ca="1">OFFSET(S!$A$18,MATCH($C$2,S!$C$11:$C$47348,0),2)</f>
        <v>7.33</v>
      </c>
      <c r="S4" s="4"/>
      <c r="T4" s="4"/>
      <c r="U4" s="4"/>
      <c r="V4" s="4"/>
      <c r="W4" s="4"/>
      <c r="X4" s="4"/>
      <c r="Y4" s="4"/>
      <c r="Z4" s="4"/>
      <c r="AA4" s="102"/>
      <c r="AB4" s="103"/>
      <c r="AC4" s="103"/>
      <c r="AD4" s="103"/>
      <c r="AE4" s="103"/>
      <c r="AF4" s="102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</row>
    <row r="5" spans="1:43">
      <c r="A5" s="10" t="s">
        <v>9</v>
      </c>
      <c r="B5" s="11">
        <f ca="1">OFFSET(Y!$A$11,MATCH($C$2,Y!$C$11:$C$48345,0),3)</f>
        <v>5.18</v>
      </c>
      <c r="C5" s="11">
        <f ca="1">OFFSET(Y!$A$12,MATCH($C$2,Y!$C$11:$C$48345,0),3)</f>
        <v>6.24</v>
      </c>
      <c r="D5" s="11">
        <f ca="1">OFFSET(Y!$A$13,MATCH($C$2,Y!$C$11:$C$48345,0),3)</f>
        <v>3.45</v>
      </c>
      <c r="E5" s="11">
        <f ca="1">OFFSET(Y!$A$14,MATCH($C$2,Y!$C$11:$C$48345,0),3)</f>
        <v>3.86</v>
      </c>
      <c r="F5" s="11">
        <f ca="1">OFFSET(Y!$A$15,MATCH($C$2,Y!$C$11:$C$48345,0),3)</f>
        <v>4.1399999999999997</v>
      </c>
      <c r="G5" s="11">
        <f ca="1">OFFSET(Y!$A$16,MATCH($C$2,Y!$C$11:$C$48345,0),3)</f>
        <v>4.93</v>
      </c>
      <c r="H5" s="11">
        <f ca="1">OFFSET(Y!$A$17,MATCH($C$2,Y!$C$11:$C$48345,0),3)</f>
        <v>3.79</v>
      </c>
      <c r="I5" s="11">
        <f ca="1">OFFSET(Y!$A$18,MATCH($C$2,Y!$C$11:$C$48345,0),3)</f>
        <v>3.97</v>
      </c>
      <c r="J5" s="12" t="s">
        <v>9</v>
      </c>
      <c r="K5" s="13">
        <f ca="1">OFFSET(S!$A$11,MATCH($C$2,S!$C$11:$C$47348,0),3)</f>
        <v>1.9</v>
      </c>
      <c r="L5" s="13">
        <f ca="1">OFFSET(S!$A$12,MATCH($C$2,S!$C$11:$C$47348,0),3)</f>
        <v>1.61</v>
      </c>
      <c r="M5" s="13">
        <f ca="1">OFFSET(S!$A$13,MATCH($C$2,S!$C$11:$C$47348,0),3)</f>
        <v>1.29</v>
      </c>
      <c r="N5" s="13">
        <f ca="1">OFFSET(S!$A$14,MATCH($C$2,S!$C$11:$C$47348,0),3)</f>
        <v>1.22</v>
      </c>
      <c r="O5" s="13">
        <f ca="1">OFFSET(S!$A$15,MATCH($C$2,S!$C$11:$C$47348,0),3)</f>
        <v>1.17</v>
      </c>
      <c r="P5" s="13">
        <f ca="1">OFFSET(S!$A$16,MATCH($C$2,S!$C$11:$C$47348,0),3)</f>
        <v>1.39</v>
      </c>
      <c r="Q5" s="13">
        <f ca="1">OFFSET(S!$A$17,MATCH($C$2,S!$C$11:$C$47348,0),3)</f>
        <v>1.4</v>
      </c>
      <c r="R5" s="13">
        <f ca="1">OFFSET(S!$A$18,MATCH($C$2,S!$C$11:$C$47348,0),3)</f>
        <v>1.57</v>
      </c>
      <c r="S5" s="4"/>
      <c r="T5" s="4"/>
      <c r="U5" s="4"/>
      <c r="V5" s="4"/>
      <c r="W5" s="4"/>
      <c r="X5" s="4"/>
      <c r="Y5" s="4"/>
      <c r="Z5" s="4"/>
      <c r="AA5" s="102"/>
      <c r="AB5" s="104"/>
      <c r="AC5" s="104" t="s">
        <v>268</v>
      </c>
      <c r="AD5" s="104"/>
      <c r="AE5" s="104"/>
      <c r="AF5" s="102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</row>
    <row r="6" spans="1:43">
      <c r="A6" s="7" t="s">
        <v>11</v>
      </c>
      <c r="B6" s="14">
        <f ca="1">OFFSET(Y!$A$11,MATCH($C$2,Y!$C$11:$C$48345,0),4)</f>
        <v>2.9994807099999998</v>
      </c>
      <c r="C6" s="14">
        <f ca="1">OFFSET(Y!$A$12,MATCH($C$2,Y!$C$11:$C$48345,0),4)</f>
        <v>2.9995132600000001</v>
      </c>
      <c r="D6" s="14">
        <f ca="1">OFFSET(Y!$A$13,MATCH($C$2,Y!$C$11:$C$48345,0),4)</f>
        <v>2.99973242</v>
      </c>
      <c r="E6" s="14">
        <f ca="1">OFFSET(Y!$A$14,MATCH($C$2,Y!$C$11:$C$48345,0),4)</f>
        <v>2.9998924100000002</v>
      </c>
      <c r="F6" s="14">
        <f ca="1">OFFSET(Y!$A$15,MATCH($C$2,Y!$C$11:$C$48345,0),4)</f>
        <v>3.0250699999999999</v>
      </c>
      <c r="G6" s="14">
        <f ca="1">OFFSET(Y!$A$16,MATCH($C$2,Y!$C$11:$C$48345,0),4)</f>
        <v>2.9994999999999998</v>
      </c>
      <c r="H6" s="14">
        <f ca="1">OFFSET(Y!$A$17,MATCH($C$2,Y!$C$11:$C$48345,0),4)</f>
        <v>2.4990999999999999</v>
      </c>
      <c r="I6" s="14">
        <f ca="1">OFFSET(Y!$A$18,MATCH($C$2,Y!$C$11:$C$48345,0),4)</f>
        <v>1.9998</v>
      </c>
      <c r="J6" s="7" t="s">
        <v>12</v>
      </c>
      <c r="K6" s="21">
        <f ca="1">OFFSET(S!$A$11,MATCH($C$2,S!$C$11:$C$47348,0),4)</f>
        <v>-71</v>
      </c>
      <c r="L6" s="21">
        <f ca="1">OFFSET(S!$A$12,MATCH($C$2,S!$C$11:$C$47348,0),4)</f>
        <v>-19</v>
      </c>
      <c r="M6" s="21">
        <f ca="1">OFFSET(S!$A$13,MATCH($C$2,S!$C$11:$C$47348,0),4)</f>
        <v>-2151</v>
      </c>
      <c r="N6" s="21">
        <f ca="1">OFFSET(S!$A$14,MATCH($C$2,S!$C$11:$C$47348,0),4)</f>
        <v>-4656</v>
      </c>
      <c r="O6" s="21">
        <f ca="1">OFFSET(S!$A$15,MATCH($C$2,S!$C$11:$C$47348,0),4)</f>
        <v>-2223</v>
      </c>
      <c r="P6" s="21">
        <f ca="1">OFFSET(S!$A$16,MATCH($C$2,S!$C$11:$C$47348,0),4)</f>
        <v>-88</v>
      </c>
      <c r="Q6" s="21">
        <f ca="1">OFFSET(S!$A$17,MATCH($C$2,S!$C$11:$C$47348,0),4)</f>
        <v>-423</v>
      </c>
      <c r="R6" s="21">
        <f ca="1">OFFSET(S!$A$18,MATCH($C$2,S!$C$11:$C$47348,0),4)</f>
        <v>-137</v>
      </c>
      <c r="S6" s="4"/>
      <c r="T6" s="4"/>
      <c r="U6" s="4"/>
      <c r="V6" s="4"/>
      <c r="W6" s="4"/>
      <c r="X6" s="4"/>
      <c r="Y6" s="4"/>
      <c r="Z6" s="4"/>
      <c r="AA6" s="102"/>
      <c r="AB6" s="105" t="str">
        <f ca="1">OFFSET(D!$A$57,MATCH($C$2,D!$C$54:$C424,0),0)</f>
        <v>101/10</v>
      </c>
      <c r="AC6" s="106">
        <f ca="1">OFFSET(D!A57,MATCH($C$2,D!$C$54:$C$424,0),1)</f>
        <v>49282571</v>
      </c>
      <c r="AD6" s="107">
        <f ca="1">OFFSET(D!A57,MATCH($C$2,D!$C$54:$C$424,0),2)</f>
        <v>0.151</v>
      </c>
      <c r="AE6" s="106">
        <f ca="1">OFFSET(D!A57,MATCH($C$2,D!$C$54:$C$424,0),3)</f>
        <v>37246661</v>
      </c>
      <c r="AF6" s="102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</row>
    <row r="7" spans="1:43">
      <c r="A7" s="10" t="s">
        <v>13</v>
      </c>
      <c r="B7" s="16">
        <f ca="1">OFFSET(Y!$A$11,MATCH($C$2,Y!$C$11:$C$48345,0),5)</f>
        <v>0</v>
      </c>
      <c r="C7" s="16">
        <f ca="1">OFFSET(Y!$A$12,MATCH($C$2,Y!$C$11:$C$48345,0),5)</f>
        <v>0</v>
      </c>
      <c r="D7" s="16">
        <f ca="1">OFFSET(Y!$A$13,MATCH($C$2,Y!$C$11:$C$48345,0),5)</f>
        <v>0</v>
      </c>
      <c r="E7" s="16">
        <f ca="1">OFFSET(Y!$A$14,MATCH($C$2,Y!$C$11:$C$48345,0),5)</f>
        <v>4.9998207000000003E-2</v>
      </c>
      <c r="F7" s="16">
        <f ca="1">OFFSET(Y!$A$15,MATCH($C$2,Y!$C$11:$C$48345,0),5)</f>
        <v>5.042E-2</v>
      </c>
      <c r="G7" s="16">
        <f ca="1">OFFSET(Y!$A$16,MATCH($C$2,Y!$C$11:$C$48345,0),5)</f>
        <v>0.05</v>
      </c>
      <c r="H7" s="16">
        <f ca="1">OFFSET(Y!$A$17,MATCH($C$2,Y!$C$11:$C$48345,0),5)</f>
        <v>0.2999</v>
      </c>
      <c r="I7" s="16">
        <f ca="1">OFFSET(Y!$A$18,MATCH($C$2,Y!$C$11:$C$48345,0),5)</f>
        <v>0.49997000000000003</v>
      </c>
      <c r="J7" s="12" t="s">
        <v>14</v>
      </c>
      <c r="K7" s="20">
        <f ca="1">OFFSET(S!$A$11,MATCH($C$2,S!$C$11:$C$47348,0),5)</f>
        <v>-2376</v>
      </c>
      <c r="L7" s="20">
        <f ca="1">OFFSET(S!$A$12,MATCH($C$2,S!$C$11:$C$47348,0),5)</f>
        <v>-2852</v>
      </c>
      <c r="M7" s="20">
        <f ca="1">OFFSET(S!$A$13,MATCH($C$2,S!$C$11:$C$47348,0),5)</f>
        <v>-2723</v>
      </c>
      <c r="N7" s="20">
        <f ca="1">OFFSET(S!$A$14,MATCH($C$2,S!$C$11:$C$47348,0),5)</f>
        <v>409</v>
      </c>
      <c r="O7" s="20">
        <f ca="1">OFFSET(S!$A$15,MATCH($C$2,S!$C$11:$C$47348,0),5)</f>
        <v>5142</v>
      </c>
      <c r="P7" s="20">
        <f ca="1">OFFSET(S!$A$16,MATCH($C$2,S!$C$11:$C$47348,0),5)</f>
        <v>489</v>
      </c>
      <c r="Q7" s="20">
        <f ca="1">OFFSET(S!$A$17,MATCH($C$2,S!$C$11:$C$47348,0),5)</f>
        <v>-3247</v>
      </c>
      <c r="R7" s="20">
        <f ca="1">OFFSET(S!$A$18,MATCH($C$2,S!$C$11:$C$47348,0),5)</f>
        <v>-1873</v>
      </c>
      <c r="S7" s="4"/>
      <c r="T7" s="4"/>
      <c r="U7" s="4"/>
      <c r="V7" s="4"/>
      <c r="W7" s="4"/>
      <c r="X7" s="4"/>
      <c r="Y7" s="4"/>
      <c r="Z7" s="4"/>
      <c r="AA7" s="102"/>
      <c r="AB7" s="105" t="str">
        <f ca="1">OFFSET(D!$A$58,MATCH($C$2,D!$C$54:$C424,0),0)</f>
        <v>101/09</v>
      </c>
      <c r="AC7" s="106">
        <f ca="1">OFFSET(D!A58,MATCH($C$2,D!$C$54:$C$424,0),1)</f>
        <v>42816800</v>
      </c>
      <c r="AD7" s="107">
        <f ca="1">OFFSET(D!A58,MATCH($C$2,D!$C$54:$C$424,0),2)</f>
        <v>-0.12429999999999999</v>
      </c>
      <c r="AE7" s="106">
        <f ca="1">OFFSET(D!A58,MATCH($C$2,D!$C$54:$C$424,0),3)</f>
        <v>32860849</v>
      </c>
      <c r="AF7" s="102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</row>
    <row r="8" spans="1:43">
      <c r="A8" s="7" t="s">
        <v>15</v>
      </c>
      <c r="B8" s="18">
        <f ca="1">OFFSET(Y!$A$11,MATCH($C$2,Y!$C$11:$C$48345,0),6)</f>
        <v>0.57905032999999995</v>
      </c>
      <c r="C8" s="18">
        <f ca="1">OFFSET(Y!$A$12,MATCH($C$2,Y!$C$11:$C$48345,0),6)</f>
        <v>0.48069122800000003</v>
      </c>
      <c r="D8" s="18">
        <f ca="1">OFFSET(Y!$A$13,MATCH($C$2,Y!$C$11:$C$48345,0),6)</f>
        <v>0.86948765800000005</v>
      </c>
      <c r="E8" s="18">
        <f ca="1">OFFSET(Y!$A$14,MATCH($C$2,Y!$C$11:$C$48345,0),6)</f>
        <v>0.77717419899999995</v>
      </c>
      <c r="F8" s="18">
        <f ca="1">OFFSET(Y!$A$15,MATCH($C$2,Y!$C$11:$C$48345,0),6)</f>
        <v>0.730693237</v>
      </c>
      <c r="G8" s="18">
        <f ca="1">OFFSET(Y!$A$16,MATCH($C$2,Y!$C$11:$C$48345,0),6)</f>
        <v>0.60841785000000004</v>
      </c>
      <c r="H8" s="18">
        <f ca="1">OFFSET(Y!$A$17,MATCH($C$2,Y!$C$11:$C$48345,0),6)</f>
        <v>0.65939314000000004</v>
      </c>
      <c r="I8" s="18">
        <f ca="1">OFFSET(Y!$A$18,MATCH($C$2,Y!$C$11:$C$48345,0),6)</f>
        <v>0.50372795999999997</v>
      </c>
      <c r="J8" s="7" t="s">
        <v>16</v>
      </c>
      <c r="K8" s="21">
        <f ca="1">OFFSET(S!$A$11,MATCH($C$2,S!$C$11:$C$47348,0),6)</f>
        <v>-4228</v>
      </c>
      <c r="L8" s="21">
        <f ca="1">OFFSET(S!$A$12,MATCH($C$2,S!$C$11:$C$47348,0),6)</f>
        <v>-7033</v>
      </c>
      <c r="M8" s="21">
        <f ca="1">OFFSET(S!$A$13,MATCH($C$2,S!$C$11:$C$47348,0),6)</f>
        <v>-6976</v>
      </c>
      <c r="N8" s="21">
        <f ca="1">OFFSET(S!$A$14,MATCH($C$2,S!$C$11:$C$47348,0),6)</f>
        <v>4875</v>
      </c>
      <c r="O8" s="21">
        <f ca="1">OFFSET(S!$A$15,MATCH($C$2,S!$C$11:$C$47348,0),6)</f>
        <v>896</v>
      </c>
      <c r="P8" s="21">
        <f ca="1">OFFSET(S!$A$16,MATCH($C$2,S!$C$11:$C$47348,0),6)</f>
        <v>-391</v>
      </c>
      <c r="Q8" s="21">
        <f ca="1">OFFSET(S!$A$17,MATCH($C$2,S!$C$11:$C$47348,0),6)</f>
        <v>-4524</v>
      </c>
      <c r="R8" s="21">
        <f ca="1">OFFSET(S!$A$18,MATCH($C$2,S!$C$11:$C$47348,0),6)</f>
        <v>5197</v>
      </c>
      <c r="S8" s="4"/>
      <c r="T8" s="4"/>
      <c r="U8" s="4"/>
      <c r="V8" s="4"/>
      <c r="W8" s="4"/>
      <c r="X8" s="4"/>
      <c r="Y8" s="4"/>
      <c r="Z8" s="4"/>
      <c r="AA8" s="102"/>
      <c r="AB8" s="105" t="str">
        <f ca="1">OFFSET(D!$A$59,MATCH($C$2,D!$C$54:$C424,0),0)</f>
        <v>101/08</v>
      </c>
      <c r="AC8" s="106">
        <f ca="1">OFFSET(D!A59,MATCH($C$2,D!$C$54:$C$424,0),1)</f>
        <v>48896013</v>
      </c>
      <c r="AD8" s="107">
        <f ca="1">OFFSET(D!A59,MATCH($C$2,D!$C$54:$C$424,0),2)</f>
        <v>2.0299999999999999E-2</v>
      </c>
      <c r="AE8" s="106">
        <f ca="1">OFFSET(D!A59,MATCH($C$2,D!$C$54:$C$424,0),3)</f>
        <v>37041705</v>
      </c>
      <c r="AF8" s="102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</row>
    <row r="9" spans="1:43">
      <c r="A9" s="10" t="s">
        <v>17</v>
      </c>
      <c r="B9" s="1">
        <f ca="1">OFFSET(Y!$A$11,MATCH($C$2,Y!$C$11:$C$48345,0),7)</f>
        <v>0.46461645099999999</v>
      </c>
      <c r="C9" s="1">
        <f ca="1">OFFSET(Y!$A$12,MATCH($C$2,Y!$C$11:$C$48345,0),7)</f>
        <v>0.25907034299999998</v>
      </c>
      <c r="D9" s="1">
        <f ca="1">OFFSET(Y!$A$13,MATCH($C$2,Y!$C$11:$C$48345,0),7)</f>
        <v>0.184262869</v>
      </c>
      <c r="E9" s="1">
        <f ca="1">OFFSET(Y!$A$14,MATCH($C$2,Y!$C$11:$C$48345,0),7)</f>
        <v>9.8206868000000003E-2</v>
      </c>
      <c r="F9" s="1"/>
      <c r="G9" s="1"/>
      <c r="H9" s="1"/>
      <c r="I9" s="1"/>
      <c r="J9" s="12" t="s">
        <v>18</v>
      </c>
      <c r="K9" s="20">
        <f ca="1">OFFSET(S!$A$11,MATCH($C$2,S!$C$11:$C$47348,0),7)</f>
        <v>-347</v>
      </c>
      <c r="L9" s="20">
        <f ca="1">OFFSET(S!$A$12,MATCH($C$2,S!$C$11:$C$47348,0),7)</f>
        <v>1434</v>
      </c>
      <c r="M9" s="20">
        <f ca="1">OFFSET(S!$A$13,MATCH($C$2,S!$C$11:$C$47348,0),7)</f>
        <v>2512</v>
      </c>
      <c r="N9" s="20">
        <f ca="1">OFFSET(S!$A$14,MATCH($C$2,S!$C$11:$C$47348,0),7)</f>
        <v>1251</v>
      </c>
      <c r="O9" s="20">
        <f ca="1">OFFSET(S!$A$15,MATCH($C$2,S!$C$11:$C$47348,0),7)</f>
        <v>-2260</v>
      </c>
      <c r="P9" s="20">
        <f ca="1">OFFSET(S!$A$16,MATCH($C$2,S!$C$11:$C$47348,0),7)</f>
        <v>124</v>
      </c>
      <c r="Q9" s="20">
        <f ca="1">OFFSET(S!$A$17,MATCH($C$2,S!$C$11:$C$47348,0),7)</f>
        <v>266</v>
      </c>
      <c r="R9" s="20">
        <f ca="1">OFFSET(S!$A$18,MATCH($C$2,S!$C$11:$C$47348,0),7)</f>
        <v>37</v>
      </c>
      <c r="S9" s="4"/>
      <c r="T9" s="4"/>
      <c r="U9" s="4"/>
      <c r="V9" s="4"/>
      <c r="W9" s="4"/>
      <c r="X9" s="4"/>
      <c r="Y9" s="4"/>
      <c r="Z9" s="4"/>
      <c r="AA9" s="102"/>
      <c r="AB9" s="105" t="str">
        <f ca="1">OFFSET(D!$A$60,MATCH($C$2,D!$C$54:$C424,0),0)</f>
        <v>101/07</v>
      </c>
      <c r="AC9" s="106">
        <f ca="1">OFFSET(D!A60,MATCH($C$2,D!$C$54:$C$424,0),1)</f>
        <v>47924170</v>
      </c>
      <c r="AD9" s="107">
        <f ca="1">OFFSET(D!A60,MATCH($C$2,D!$C$54:$C$424,0),2)</f>
        <v>0.1179</v>
      </c>
      <c r="AE9" s="106">
        <f ca="1">OFFSET(D!A60,MATCH($C$2,D!$C$54:$C$424,0),3)</f>
        <v>34916788</v>
      </c>
      <c r="AF9" s="102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</row>
    <row r="10" spans="1:43">
      <c r="A10" s="7" t="s">
        <v>19</v>
      </c>
      <c r="B10" s="14">
        <f ca="1">OFFSET(Y!$A$11,MATCH($C$2,Y!$C$11:$C$48345,0),8)</f>
        <v>24.29</v>
      </c>
      <c r="C10" s="14">
        <f ca="1">OFFSET(Y!$A$12,MATCH($C$2,Y!$C$11:$C$48345,0),8)</f>
        <v>22.16</v>
      </c>
      <c r="D10" s="14">
        <f ca="1">OFFSET(Y!$A$13,MATCH($C$2,Y!$C$11:$C$48345,0),8)</f>
        <v>19.11</v>
      </c>
      <c r="E10" s="14">
        <f ca="1">OFFSET(Y!$A$14,MATCH($C$2,Y!$C$11:$C$48345,0),8)</f>
        <v>18.59</v>
      </c>
      <c r="F10" s="14">
        <f ca="1">OFFSET(Y!$A$15,MATCH($C$2,Y!$C$11:$C$48345,0),8)</f>
        <v>19.03</v>
      </c>
      <c r="G10" s="14">
        <f ca="1">OFFSET(Y!$A$16,MATCH($C$2,Y!$C$11:$C$48345,0),8)</f>
        <v>19.690000000000001</v>
      </c>
      <c r="H10" s="14">
        <f ca="1">OFFSET(Y!$A$17,MATCH($C$2,Y!$C$11:$C$48345,0),8)</f>
        <v>18.04</v>
      </c>
      <c r="I10" s="14">
        <f ca="1">OFFSET(Y!$A$18,MATCH($C$2,Y!$C$11:$C$48345,0),8)</f>
        <v>17.190000000000001</v>
      </c>
      <c r="J10" s="7" t="s">
        <v>19</v>
      </c>
      <c r="K10" s="14">
        <f ca="1">OFFSET(S!$A$11,MATCH($C$2,S!$C$11:$C$47348,0),8)</f>
        <v>26.02</v>
      </c>
      <c r="L10" s="14">
        <f ca="1">OFFSET(S!$A$12,MATCH($C$2,S!$C$11:$C$47348,0),8)</f>
        <v>24.21</v>
      </c>
      <c r="M10" s="14">
        <f ca="1">OFFSET(S!$A$13,MATCH($C$2,S!$C$11:$C$47348,0),8)</f>
        <v>25.5</v>
      </c>
      <c r="N10" s="14">
        <f ca="1">OFFSET(S!$A$14,MATCH($C$2,S!$C$11:$C$47348,0),8)</f>
        <v>24.29</v>
      </c>
      <c r="O10" s="14">
        <f ca="1">OFFSET(S!$A$15,MATCH($C$2,S!$C$11:$C$47348,0),8)</f>
        <v>23.1</v>
      </c>
      <c r="P10" s="14">
        <f ca="1">OFFSET(S!$A$16,MATCH($C$2,S!$C$11:$C$47348,0),8)</f>
        <v>21.76</v>
      </c>
      <c r="Q10" s="14">
        <f ca="1">OFFSET(S!$A$17,MATCH($C$2,S!$C$11:$C$47348,0),8)</f>
        <v>23.45</v>
      </c>
      <c r="R10" s="14">
        <f ca="1">OFFSET(S!$A$18,MATCH($C$2,S!$C$11:$C$47348,0),8)</f>
        <v>22.16</v>
      </c>
      <c r="S10" s="4"/>
      <c r="T10" s="4"/>
      <c r="U10" s="4"/>
      <c r="V10" s="4"/>
      <c r="W10" s="4"/>
      <c r="X10" s="4"/>
      <c r="Y10" s="4"/>
      <c r="Z10" s="4"/>
      <c r="AA10" s="102"/>
      <c r="AB10" s="105" t="str">
        <f ca="1">OFFSET(D!$A$61,MATCH($C$2,D!$C$54:$C424,0),0)</f>
        <v>101/06</v>
      </c>
      <c r="AC10" s="106">
        <f ca="1">OFFSET(D!A61,MATCH($C$2,D!$C$54:$C$424,0),1)</f>
        <v>42869733</v>
      </c>
      <c r="AD10" s="107">
        <f ca="1">OFFSET(D!A61,MATCH($C$2,D!$C$54:$C$424,0),2)</f>
        <v>-1.7299999999999999E-2</v>
      </c>
      <c r="AE10" s="106">
        <f ca="1">OFFSET(D!A61,MATCH($C$2,D!$C$54:$C$424,0),3)</f>
        <v>35653939</v>
      </c>
      <c r="AF10" s="102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</row>
    <row r="11" spans="1:43">
      <c r="A11" s="10" t="s">
        <v>20</v>
      </c>
      <c r="B11" s="19">
        <f ca="1">OFFSET(Y!$A$11,MATCH($C$2,Y!$C$11:$C$48345,0),9)</f>
        <v>418245</v>
      </c>
      <c r="C11" s="19">
        <f ca="1">OFFSET(Y!$A$12,MATCH($C$2,Y!$C$11:$C$48345,0),9)</f>
        <v>406963</v>
      </c>
      <c r="D11" s="19">
        <f ca="1">OFFSET(Y!$A$13,MATCH($C$2,Y!$C$11:$C$48345,0),9)</f>
        <v>285743</v>
      </c>
      <c r="E11" s="19">
        <f ca="1">OFFSET(Y!$A$14,MATCH($C$2,Y!$C$11:$C$48345,0),9)</f>
        <v>321767</v>
      </c>
      <c r="F11" s="19">
        <f ca="1">OFFSET(Y!$A$15,MATCH($C$2,Y!$C$11:$C$48345,0),9)</f>
        <v>313648</v>
      </c>
      <c r="G11" s="19">
        <f ca="1">OFFSET(Y!$A$16,MATCH($C$2,Y!$C$11:$C$48345,0),9)</f>
        <v>313882</v>
      </c>
      <c r="H11" s="19">
        <f ca="1">OFFSET(Y!$A$17,MATCH($C$2,Y!$C$11:$C$48345,0),9)</f>
        <v>264588</v>
      </c>
      <c r="I11" s="19">
        <f ca="1">OFFSET(Y!$A$18,MATCH($C$2,Y!$C$11:$C$48345,0),9)</f>
        <v>255992</v>
      </c>
      <c r="J11" s="12" t="s">
        <v>20</v>
      </c>
      <c r="K11" s="20">
        <f ca="1">OFFSET(S!$A$11,MATCH($C$2,S!$C$11:$C$47348,0),9)</f>
        <v>139637</v>
      </c>
      <c r="L11" s="20">
        <f ca="1">OFFSET(S!$A$12,MATCH($C$2,S!$C$11:$C$47348,0),9)</f>
        <v>126501</v>
      </c>
      <c r="M11" s="20">
        <f ca="1">OFFSET(S!$A$13,MATCH($C$2,S!$C$11:$C$47348,0),9)</f>
        <v>104249</v>
      </c>
      <c r="N11" s="20">
        <f ca="1">OFFSET(S!$A$14,MATCH($C$2,S!$C$11:$C$47348,0),9)</f>
        <v>103032</v>
      </c>
      <c r="O11" s="20">
        <f ca="1">OFFSET(S!$A$15,MATCH($C$2,S!$C$11:$C$47348,0),9)</f>
        <v>104819</v>
      </c>
      <c r="P11" s="20">
        <f ca="1">OFFSET(S!$A$16,MATCH($C$2,S!$C$11:$C$47348,0),9)</f>
        <v>107845</v>
      </c>
      <c r="Q11" s="20">
        <f ca="1">OFFSET(S!$A$17,MATCH($C$2,S!$C$11:$C$47348,0),9)</f>
        <v>102548</v>
      </c>
      <c r="R11" s="20">
        <f ca="1">OFFSET(S!$A$18,MATCH($C$2,S!$C$11:$C$47348,0),9)</f>
        <v>106846</v>
      </c>
      <c r="S11" s="4"/>
      <c r="T11" s="4"/>
      <c r="U11" s="4"/>
      <c r="V11" s="4"/>
      <c r="W11" s="4"/>
      <c r="X11" s="4"/>
      <c r="Y11" s="4"/>
      <c r="Z11" s="4"/>
      <c r="AA11" s="102"/>
      <c r="AB11" s="105" t="str">
        <f ca="1">OFFSET(D!$A$62,MATCH($C$2,D!$C$54:$C424,0),0)</f>
        <v>101/05</v>
      </c>
      <c r="AC11" s="106">
        <f ca="1">OFFSET(D!A62,MATCH($C$2,D!$C$54:$C$424,0),1)</f>
        <v>43623222</v>
      </c>
      <c r="AD11" s="107">
        <f ca="1">OFFSET(D!A62,MATCH($C$2,D!$C$54:$C$424,0),2)</f>
        <v>9.0399999999999994E-2</v>
      </c>
      <c r="AE11" s="106">
        <f ca="1">OFFSET(D!A62,MATCH($C$2,D!$C$54:$C$424,0),3)</f>
        <v>35960997</v>
      </c>
      <c r="AF11" s="102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</row>
    <row r="12" spans="1:43">
      <c r="A12" s="7" t="s">
        <v>21</v>
      </c>
      <c r="B12" s="21">
        <f ca="1">OFFSET(Y!$A$11,MATCH($C$2,Y!$C$11:$C$48345,0),10)</f>
        <v>233083</v>
      </c>
      <c r="C12" s="21">
        <f ca="1">OFFSET(Y!$A$12,MATCH($C$2,Y!$C$11:$C$48345,0),10)</f>
        <v>209921</v>
      </c>
      <c r="D12" s="21">
        <f ca="1">OFFSET(Y!$A$13,MATCH($C$2,Y!$C$11:$C$48345,0),10)</f>
        <v>159107</v>
      </c>
      <c r="E12" s="21">
        <f ca="1">OFFSET(Y!$A$14,MATCH($C$2,Y!$C$11:$C$48345,0),10)</f>
        <v>183590</v>
      </c>
      <c r="F12" s="21">
        <f ca="1">OFFSET(Y!$A$15,MATCH($C$2,Y!$C$11:$C$48345,0),10)</f>
        <v>176223</v>
      </c>
      <c r="G12" s="21">
        <f ca="1">OFFSET(Y!$A$16,MATCH($C$2,Y!$C$11:$C$48345,0),10)</f>
        <v>164163</v>
      </c>
      <c r="H12" s="21">
        <f ca="1">OFFSET(Y!$A$17,MATCH($C$2,Y!$C$11:$C$48345,0),10)</f>
        <v>149344</v>
      </c>
      <c r="I12" s="21">
        <f ca="1">OFFSET(Y!$A$18,MATCH($C$2,Y!$C$11:$C$48345,0),10)</f>
        <v>145832</v>
      </c>
      <c r="J12" s="7" t="s">
        <v>21</v>
      </c>
      <c r="K12" s="21">
        <f ca="1">OFFSET(S!$A$11,MATCH($C$2,S!$C$11:$C$47348,0),10)</f>
        <v>73471</v>
      </c>
      <c r="L12" s="21">
        <f ca="1">OFFSET(S!$A$12,MATCH($C$2,S!$C$11:$C$47348,0),10)</f>
        <v>66185</v>
      </c>
      <c r="M12" s="21">
        <f ca="1">OFFSET(S!$A$13,MATCH($C$2,S!$C$11:$C$47348,0),10)</f>
        <v>55753</v>
      </c>
      <c r="N12" s="21">
        <f ca="1">OFFSET(S!$A$14,MATCH($C$2,S!$C$11:$C$47348,0),10)</f>
        <v>57846</v>
      </c>
      <c r="O12" s="21">
        <f ca="1">OFFSET(S!$A$15,MATCH($C$2,S!$C$11:$C$47348,0),10)</f>
        <v>61972</v>
      </c>
      <c r="P12" s="21">
        <f ca="1">OFFSET(S!$A$16,MATCH($C$2,S!$C$11:$C$47348,0),10)</f>
        <v>59776</v>
      </c>
      <c r="Q12" s="21">
        <f ca="1">OFFSET(S!$A$17,MATCH($C$2,S!$C$11:$C$47348,0),10)</f>
        <v>53490</v>
      </c>
      <c r="R12" s="21">
        <f ca="1">OFFSET(S!$A$18,MATCH($C$2,S!$C$11:$C$47348,0),10)</f>
        <v>55137</v>
      </c>
      <c r="S12" s="4"/>
      <c r="T12" s="4"/>
      <c r="U12" s="4"/>
      <c r="V12" s="4"/>
      <c r="W12" s="4"/>
      <c r="X12" s="4"/>
      <c r="Y12" s="4"/>
      <c r="Z12" s="4"/>
      <c r="AA12" s="102"/>
      <c r="AB12" s="105" t="str">
        <f ca="1">OFFSET(D!$A$63,MATCH($C$2,D!$C$54:$C424,0),0)</f>
        <v>101/04</v>
      </c>
      <c r="AC12" s="106">
        <f ca="1">OFFSET(D!A63,MATCH($C$2,D!$C$54:$C$424,0),1)</f>
        <v>40007591</v>
      </c>
      <c r="AD12" s="107">
        <f ca="1">OFFSET(D!A63,MATCH($C$2,D!$C$54:$C$424,0),2)</f>
        <v>9.2799999999999994E-2</v>
      </c>
      <c r="AE12" s="106">
        <f ca="1">OFFSET(D!A63,MATCH($C$2,D!$C$54:$C$424,0),3)</f>
        <v>36230359</v>
      </c>
      <c r="AF12" s="102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</row>
    <row r="13" spans="1:43">
      <c r="A13" s="10" t="s">
        <v>22</v>
      </c>
      <c r="B13" s="19">
        <f ca="1">OFFSET(Y!$A$11,MATCH($C$2,Y!$C$11:$C$48345,0),11)</f>
        <v>185162</v>
      </c>
      <c r="C13" s="19">
        <f ca="1">OFFSET(Y!$A$12,MATCH($C$2,Y!$C$11:$C$48345,0),11)</f>
        <v>197042</v>
      </c>
      <c r="D13" s="19">
        <f ca="1">OFFSET(Y!$A$13,MATCH($C$2,Y!$C$11:$C$48345,0),11)</f>
        <v>126636</v>
      </c>
      <c r="E13" s="19">
        <f ca="1">OFFSET(Y!$A$14,MATCH($C$2,Y!$C$11:$C$48345,0),11)</f>
        <v>138178</v>
      </c>
      <c r="F13" s="19">
        <f ca="1">OFFSET(Y!$A$15,MATCH($C$2,Y!$C$11:$C$48345,0),11)</f>
        <v>137424</v>
      </c>
      <c r="G13" s="19">
        <f ca="1">OFFSET(Y!$A$16,MATCH($C$2,Y!$C$11:$C$48345,0),11)</f>
        <v>149718</v>
      </c>
      <c r="H13" s="19">
        <f ca="1">OFFSET(Y!$A$17,MATCH($C$2,Y!$C$11:$C$48345,0),11)</f>
        <v>115244</v>
      </c>
      <c r="I13" s="19">
        <f ca="1">OFFSET(Y!$A$18,MATCH($C$2,Y!$C$11:$C$48345,0),11)</f>
        <v>110161</v>
      </c>
      <c r="J13" s="12" t="s">
        <v>22</v>
      </c>
      <c r="K13" s="20">
        <f ca="1">OFFSET(S!$A$11,MATCH($C$2,S!$C$11:$C$47348,0),11)</f>
        <v>66166</v>
      </c>
      <c r="L13" s="20">
        <f ca="1">OFFSET(S!$A$12,MATCH($C$2,S!$C$11:$C$47348,0),11)</f>
        <v>60315</v>
      </c>
      <c r="M13" s="20">
        <f ca="1">OFFSET(S!$A$13,MATCH($C$2,S!$C$11:$C$47348,0),11)</f>
        <v>48496</v>
      </c>
      <c r="N13" s="20">
        <f ca="1">OFFSET(S!$A$14,MATCH($C$2,S!$C$11:$C$47348,0),11)</f>
        <v>45187</v>
      </c>
      <c r="O13" s="20">
        <f ca="1">OFFSET(S!$A$15,MATCH($C$2,S!$C$11:$C$47348,0),11)</f>
        <v>42848</v>
      </c>
      <c r="P13" s="20">
        <f ca="1">OFFSET(S!$A$16,MATCH($C$2,S!$C$11:$C$47348,0),11)</f>
        <v>48070</v>
      </c>
      <c r="Q13" s="20">
        <f ca="1">OFFSET(S!$A$17,MATCH($C$2,S!$C$11:$C$47348,0),11)</f>
        <v>49059</v>
      </c>
      <c r="R13" s="20">
        <f ca="1">OFFSET(S!$A$18,MATCH($C$2,S!$C$11:$C$47348,0),11)</f>
        <v>51709</v>
      </c>
      <c r="S13" s="4"/>
      <c r="T13" s="4"/>
      <c r="U13" s="4"/>
      <c r="V13" s="4"/>
      <c r="W13" s="4"/>
      <c r="X13" s="4"/>
      <c r="Y13" s="4"/>
      <c r="Z13" s="4"/>
      <c r="AA13" s="102"/>
      <c r="AB13" s="105" t="str">
        <f ca="1">OFFSET(D!$A$64,MATCH($C$2,D!$C$54:$C424,0),0)</f>
        <v>101/03</v>
      </c>
      <c r="AC13" s="106">
        <f ca="1">OFFSET(D!A64,MATCH($C$2,D!$C$54:$C$424,0),1)</f>
        <v>36611146</v>
      </c>
      <c r="AD13" s="107">
        <f ca="1">OFFSET(D!A64,MATCH($C$2,D!$C$54:$C$424,0),2)</f>
        <v>9.01E-2</v>
      </c>
      <c r="AE13" s="106">
        <f ca="1">OFFSET(D!A64,MATCH($C$2,D!$C$54:$C$424,0),3)</f>
        <v>36370479</v>
      </c>
      <c r="AF13" s="102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</row>
    <row r="14" spans="1:43">
      <c r="A14" s="7" t="s">
        <v>23</v>
      </c>
      <c r="B14" s="15">
        <f ca="1">OFFSET(Y!$A$11,MATCH($C$2,Y!$C$11:$C$48345,0),12)</f>
        <v>398</v>
      </c>
      <c r="C14" s="15">
        <f ca="1">OFFSET(Y!$A$12,MATCH($C$2,Y!$C$11:$C$48345,0),12)</f>
        <v>-53</v>
      </c>
      <c r="D14" s="15">
        <f ca="1">OFFSET(Y!$A$13,MATCH($C$2,Y!$C$11:$C$48345,0),12)</f>
        <v>-160</v>
      </c>
      <c r="E14" s="15">
        <f ca="1">OFFSET(Y!$A$14,MATCH($C$2,Y!$C$11:$C$48345,0),12)</f>
        <v>0</v>
      </c>
      <c r="F14" s="15">
        <f ca="1">OFFSET(Y!$A$15,MATCH($C$2,Y!$C$11:$C$48345,0),12)</f>
        <v>-265</v>
      </c>
      <c r="G14" s="15">
        <f ca="1">OFFSET(Y!$A$16,MATCH($C$2,Y!$C$11:$C$48345,0),12)</f>
        <v>0</v>
      </c>
      <c r="H14" s="15">
        <f ca="1">OFFSET(Y!$A$17,MATCH($C$2,Y!$C$11:$C$48345,0),12)</f>
        <v>0</v>
      </c>
      <c r="I14" s="15">
        <f ca="1">OFFSET(Y!$A$18,MATCH($C$2,Y!$C$11:$C$48345,0),12)</f>
        <v>0</v>
      </c>
      <c r="J14" s="7" t="s">
        <v>23</v>
      </c>
      <c r="K14" s="15">
        <f ca="1">OFFSET(S!$A$11,MATCH($C$2,S!$C$11:$C$47348,0),12)</f>
        <v>10</v>
      </c>
      <c r="L14" s="15">
        <f ca="1">OFFSET(S!$A$12,MATCH($C$2,S!$C$11:$C$47348,0),12)</f>
        <v>-214</v>
      </c>
      <c r="M14" s="15">
        <f ca="1">OFFSET(S!$A$13,MATCH($C$2,S!$C$11:$C$47348,0),12)</f>
        <v>74</v>
      </c>
      <c r="N14" s="15">
        <f ca="1">OFFSET(S!$A$14,MATCH($C$2,S!$C$11:$C$47348,0),12)</f>
        <v>52</v>
      </c>
      <c r="O14" s="15">
        <f ca="1">OFFSET(S!$A$15,MATCH($C$2,S!$C$11:$C$47348,0),12)</f>
        <v>97</v>
      </c>
      <c r="P14" s="15">
        <f ca="1">OFFSET(S!$A$16,MATCH($C$2,S!$C$11:$C$47348,0),12)</f>
        <v>193</v>
      </c>
      <c r="Q14" s="15">
        <f ca="1">OFFSET(S!$A$17,MATCH($C$2,S!$C$11:$C$47348,0),12)</f>
        <v>56</v>
      </c>
      <c r="R14" s="15">
        <f ca="1">OFFSET(S!$A$18,MATCH($C$2,S!$C$11:$C$47348,0),12)</f>
        <v>84</v>
      </c>
      <c r="S14" s="4"/>
      <c r="T14" s="4"/>
      <c r="U14" s="4"/>
      <c r="V14" s="4"/>
      <c r="W14" s="4"/>
      <c r="X14" s="4"/>
      <c r="Y14" s="4"/>
      <c r="Z14" s="4"/>
      <c r="AA14" s="102"/>
      <c r="AB14" s="105" t="str">
        <f ca="1">OFFSET(D!$A$65,MATCH($C$2,D!$C$54:$C424,0),0)</f>
        <v>101/02</v>
      </c>
      <c r="AC14" s="106">
        <f ca="1">OFFSET(D!A65,MATCH($C$2,D!$C$54:$C$424,0),1)</f>
        <v>33584499</v>
      </c>
      <c r="AD14" s="107">
        <f ca="1">OFFSET(D!A65,MATCH($C$2,D!$C$54:$C$424,0),2)</f>
        <v>-1.38E-2</v>
      </c>
      <c r="AE14" s="106">
        <f ca="1">OFFSET(D!A65,MATCH($C$2,D!$C$54:$C$424,0),3)</f>
        <v>31753825</v>
      </c>
      <c r="AF14" s="102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</row>
    <row r="15" spans="1:43">
      <c r="A15" s="10" t="s">
        <v>24</v>
      </c>
      <c r="B15" s="19">
        <f ca="1">OFFSET(Y!$A$11,MATCH($C$2,Y!$C$11:$C$48345,0),13)</f>
        <v>46655</v>
      </c>
      <c r="C15" s="19">
        <f ca="1">OFFSET(Y!$A$12,MATCH($C$2,Y!$C$11:$C$48345,0),13)</f>
        <v>42143</v>
      </c>
      <c r="D15" s="19">
        <f ca="1">OFFSET(Y!$A$13,MATCH($C$2,Y!$C$11:$C$48345,0),13)</f>
        <v>31954</v>
      </c>
      <c r="E15" s="19">
        <f ca="1">OFFSET(Y!$A$14,MATCH($C$2,Y!$C$11:$C$48345,0),13)</f>
        <v>31887</v>
      </c>
      <c r="F15" s="19">
        <f ca="1">OFFSET(Y!$A$15,MATCH($C$2,Y!$C$11:$C$48345,0),13)</f>
        <v>24907</v>
      </c>
      <c r="G15" s="19">
        <f ca="1">OFFSET(Y!$A$16,MATCH($C$2,Y!$C$11:$C$48345,0),13)</f>
        <v>23419</v>
      </c>
      <c r="H15" s="19">
        <f ca="1">OFFSET(Y!$A$17,MATCH($C$2,Y!$C$11:$C$48345,0),13)</f>
        <v>22230</v>
      </c>
      <c r="I15" s="19">
        <f ca="1">OFFSET(Y!$A$18,MATCH($C$2,Y!$C$11:$C$48345,0),13)</f>
        <v>23338</v>
      </c>
      <c r="J15" s="12" t="s">
        <v>24</v>
      </c>
      <c r="K15" s="20">
        <f ca="1">OFFSET(S!$A$11,MATCH($C$2,S!$C$11:$C$47348,0),13)</f>
        <v>15106</v>
      </c>
      <c r="L15" s="20">
        <f ca="1">OFFSET(S!$A$12,MATCH($C$2,S!$C$11:$C$47348,0),13)</f>
        <v>14380</v>
      </c>
      <c r="M15" s="20">
        <f ca="1">OFFSET(S!$A$13,MATCH($C$2,S!$C$11:$C$47348,0),13)</f>
        <v>13530</v>
      </c>
      <c r="N15" s="20">
        <f ca="1">OFFSET(S!$A$14,MATCH($C$2,S!$C$11:$C$47348,0),13)</f>
        <v>12420</v>
      </c>
      <c r="O15" s="20">
        <f ca="1">OFFSET(S!$A$15,MATCH($C$2,S!$C$11:$C$47348,0),13)</f>
        <v>11711</v>
      </c>
      <c r="P15" s="20">
        <f ca="1">OFFSET(S!$A$16,MATCH($C$2,S!$C$11:$C$47348,0),13)</f>
        <v>11560</v>
      </c>
      <c r="Q15" s="20">
        <f ca="1">OFFSET(S!$A$17,MATCH($C$2,S!$C$11:$C$47348,0),13)</f>
        <v>10964</v>
      </c>
      <c r="R15" s="20">
        <f ca="1">OFFSET(S!$A$18,MATCH($C$2,S!$C$11:$C$47348,0),13)</f>
        <v>11715</v>
      </c>
      <c r="S15" s="4"/>
      <c r="T15" s="4"/>
      <c r="U15" s="4"/>
      <c r="V15" s="4"/>
      <c r="W15" s="4"/>
      <c r="X15" s="4"/>
      <c r="Y15" s="4"/>
      <c r="Z15" s="4"/>
      <c r="AA15" s="102"/>
      <c r="AB15" s="105" t="str">
        <f ca="1">OFFSET(D!$A$66,MATCH($C$2,D!$C$54:$C424,0),0)</f>
        <v>101/01</v>
      </c>
      <c r="AC15" s="106">
        <f ca="1">OFFSET(D!A66,MATCH($C$2,D!$C$54:$C$424,0),1)</f>
        <v>34053091</v>
      </c>
      <c r="AD15" s="107">
        <f ca="1">OFFSET(D!A66,MATCH($C$2,D!$C$54:$C$424,0),2)</f>
        <v>0.114</v>
      </c>
      <c r="AE15" s="106">
        <f ca="1">OFFSET(D!A66,MATCH($C$2,D!$C$54:$C$424,0),3)</f>
        <v>34424173</v>
      </c>
      <c r="AF15" s="102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</row>
    <row r="16" spans="1:43">
      <c r="A16" s="7" t="s">
        <v>25</v>
      </c>
      <c r="B16" s="21">
        <f ca="1">OFFSET(Y!$A$11,MATCH($C$2,Y!$C$11:$C$48345,0),14)</f>
        <v>138906</v>
      </c>
      <c r="C16" s="21">
        <f ca="1">OFFSET(Y!$A$12,MATCH($C$2,Y!$C$11:$C$48345,0),14)</f>
        <v>154847</v>
      </c>
      <c r="D16" s="21">
        <f ca="1">OFFSET(Y!$A$13,MATCH($C$2,Y!$C$11:$C$48345,0),14)</f>
        <v>94522</v>
      </c>
      <c r="E16" s="21">
        <f ca="1">OFFSET(Y!$A$14,MATCH($C$2,Y!$C$11:$C$48345,0),14)</f>
        <v>106290</v>
      </c>
      <c r="F16" s="21">
        <f ca="1">OFFSET(Y!$A$15,MATCH($C$2,Y!$C$11:$C$48345,0),14)</f>
        <v>112252</v>
      </c>
      <c r="G16" s="21">
        <f ca="1">OFFSET(Y!$A$16,MATCH($C$2,Y!$C$11:$C$48345,0),14)</f>
        <v>126300</v>
      </c>
      <c r="H16" s="21">
        <f ca="1">OFFSET(Y!$A$17,MATCH($C$2,Y!$C$11:$C$48345,0),14)</f>
        <v>93014</v>
      </c>
      <c r="I16" s="21">
        <f ca="1">OFFSET(Y!$A$18,MATCH($C$2,Y!$C$11:$C$48345,0),14)</f>
        <v>86823</v>
      </c>
      <c r="J16" s="7" t="s">
        <v>25</v>
      </c>
      <c r="K16" s="21">
        <f ca="1">OFFSET(S!$A$11,MATCH($C$2,S!$C$11:$C$47348,0),14)</f>
        <v>51070</v>
      </c>
      <c r="L16" s="21">
        <f ca="1">OFFSET(S!$A$12,MATCH($C$2,S!$C$11:$C$47348,0),14)</f>
        <v>45721</v>
      </c>
      <c r="M16" s="21">
        <f ca="1">OFFSET(S!$A$13,MATCH($C$2,S!$C$11:$C$47348,0),14)</f>
        <v>35040</v>
      </c>
      <c r="N16" s="21">
        <f ca="1">OFFSET(S!$A$14,MATCH($C$2,S!$C$11:$C$47348,0),14)</f>
        <v>32818</v>
      </c>
      <c r="O16" s="21">
        <f ca="1">OFFSET(S!$A$15,MATCH($C$2,S!$C$11:$C$47348,0),14)</f>
        <v>31234</v>
      </c>
      <c r="P16" s="21">
        <f ca="1">OFFSET(S!$A$16,MATCH($C$2,S!$C$11:$C$47348,0),14)</f>
        <v>36703</v>
      </c>
      <c r="Q16" s="21">
        <f ca="1">OFFSET(S!$A$17,MATCH($C$2,S!$C$11:$C$47348,0),14)</f>
        <v>38151</v>
      </c>
      <c r="R16" s="21">
        <f ca="1">OFFSET(S!$A$18,MATCH($C$2,S!$C$11:$C$47348,0),14)</f>
        <v>40078</v>
      </c>
      <c r="S16" s="4"/>
      <c r="T16" s="4"/>
      <c r="U16" s="4"/>
      <c r="V16" s="4"/>
      <c r="W16" s="4"/>
      <c r="X16" s="4"/>
      <c r="Y16" s="4"/>
      <c r="Z16" s="4"/>
      <c r="AA16" s="102"/>
      <c r="AB16" s="105" t="str">
        <f ca="1">OFFSET(D!$A$67,MATCH($C$2,D!$C$54:$C424,0),0)</f>
        <v>100/12</v>
      </c>
      <c r="AC16" s="106">
        <f ca="1">OFFSET(D!A67,MATCH($C$2,D!$C$54:$C$424,0),1)</f>
        <v>30566947</v>
      </c>
      <c r="AD16" s="107">
        <f ca="1">OFFSET(D!A67,MATCH($C$2,D!$C$54:$C$424,0),2)</f>
        <v>-0.1321</v>
      </c>
      <c r="AE16" s="106">
        <f ca="1">OFFSET(D!A67,MATCH($C$2,D!$C$54:$C$424,0),3)</f>
        <v>33751175</v>
      </c>
      <c r="AF16" s="102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</row>
    <row r="17" spans="1:43">
      <c r="A17" s="10" t="s">
        <v>26</v>
      </c>
      <c r="B17" s="19">
        <f ca="1">OFFSET(Y!$A$11,MATCH($C$2,Y!$C$11:$C$48345,0),15)</f>
        <v>697</v>
      </c>
      <c r="C17" s="19">
        <f ca="1">OFFSET(Y!$A$12,MATCH($C$2,Y!$C$11:$C$48345,0),15)</f>
        <v>764</v>
      </c>
      <c r="D17" s="19">
        <f ca="1">OFFSET(Y!$A$13,MATCH($C$2,Y!$C$11:$C$48345,0),15)</f>
        <v>1117</v>
      </c>
      <c r="E17" s="19">
        <f ca="1">OFFSET(Y!$A$14,MATCH($C$2,Y!$C$11:$C$48345,0),15)</f>
        <v>2729</v>
      </c>
      <c r="F17" s="19">
        <f ca="1">OFFSET(Y!$A$15,MATCH($C$2,Y!$C$11:$C$48345,0),15)</f>
        <v>2635</v>
      </c>
      <c r="G17" s="19">
        <f ca="1">OFFSET(Y!$A$16,MATCH($C$2,Y!$C$11:$C$48345,0),15)</f>
        <v>3383</v>
      </c>
      <c r="H17" s="19">
        <f ca="1">OFFSET(Y!$A$17,MATCH($C$2,Y!$C$11:$C$48345,0),15)</f>
        <v>2770</v>
      </c>
      <c r="I17" s="19">
        <f ca="1">OFFSET(Y!$A$18,MATCH($C$2,Y!$C$11:$C$48345,0),15)</f>
        <v>1762</v>
      </c>
      <c r="J17" s="12" t="s">
        <v>26</v>
      </c>
      <c r="K17" s="20">
        <f ca="1">OFFSET(S!$A$11,MATCH($C$2,S!$C$11:$C$47348,0),15)</f>
        <v>162</v>
      </c>
      <c r="L17" s="20">
        <f ca="1">OFFSET(S!$A$12,MATCH($C$2,S!$C$11:$C$47348,0),15)</f>
        <v>231</v>
      </c>
      <c r="M17" s="20">
        <f ca="1">OFFSET(S!$A$13,MATCH($C$2,S!$C$11:$C$47348,0),15)</f>
        <v>234</v>
      </c>
      <c r="N17" s="20">
        <f ca="1">OFFSET(S!$A$14,MATCH($C$2,S!$C$11:$C$47348,0),15)</f>
        <v>185</v>
      </c>
      <c r="O17" s="20">
        <f ca="1">OFFSET(S!$A$15,MATCH($C$2,S!$C$11:$C$47348,0),15)</f>
        <v>110</v>
      </c>
      <c r="P17" s="20">
        <f ca="1">OFFSET(S!$A$16,MATCH($C$2,S!$C$11:$C$47348,0),15)</f>
        <v>253</v>
      </c>
      <c r="Q17" s="20">
        <f ca="1">OFFSET(S!$A$17,MATCH($C$2,S!$C$11:$C$47348,0),15)</f>
        <v>149</v>
      </c>
      <c r="R17" s="20">
        <f ca="1">OFFSET(S!$A$18,MATCH($C$2,S!$C$11:$C$47348,0),15)</f>
        <v>209</v>
      </c>
      <c r="S17" s="4"/>
      <c r="T17" s="4"/>
      <c r="U17" s="4"/>
      <c r="V17" s="4"/>
      <c r="W17" s="4"/>
      <c r="X17" s="4"/>
      <c r="Y17" s="4"/>
      <c r="Z17" s="4"/>
      <c r="AA17" s="102"/>
      <c r="AB17" s="108" t="str">
        <f ca="1">OFFSET(D!$A$68,MATCH($C$2,D!$C$54:$C424,0),0)</f>
        <v>100/11</v>
      </c>
      <c r="AC17" s="106">
        <f ca="1">OFFSET(D!A68,MATCH($C$2,D!$C$54:$C$424,0),1)</f>
        <v>35218771</v>
      </c>
      <c r="AD17" s="107">
        <f ca="1">OFFSET(D!A68,MATCH($C$2,D!$C$54:$C$424,0),2)</f>
        <v>-5.4399999999999997E-2</v>
      </c>
      <c r="AE17" s="106">
        <f ca="1">OFFSET(D!A68,MATCH($C$2,D!$C$54:$C$424,0),3)</f>
        <v>35722299</v>
      </c>
      <c r="AF17" s="102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</row>
    <row r="18" spans="1:43">
      <c r="A18" s="7" t="s">
        <v>27</v>
      </c>
      <c r="B18" s="21">
        <f ca="1">OFFSET(Y!$A$11,MATCH($C$2,Y!$C$11:$C$48345,0),16)</f>
        <v>3778</v>
      </c>
      <c r="C18" s="21">
        <f ca="1">OFFSET(Y!$A$12,MATCH($C$2,Y!$C$11:$C$48345,0),16)</f>
        <v>7111</v>
      </c>
      <c r="D18" s="21">
        <f ca="1">OFFSET(Y!$A$13,MATCH($C$2,Y!$C$11:$C$48345,0),16)</f>
        <v>0</v>
      </c>
      <c r="E18" s="21">
        <f ca="1">OFFSET(Y!$A$14,MATCH($C$2,Y!$C$11:$C$48345,0),16)</f>
        <v>73</v>
      </c>
      <c r="F18" s="21">
        <f ca="1">OFFSET(Y!$A$15,MATCH($C$2,Y!$C$11:$C$48345,0),16)</f>
        <v>5468</v>
      </c>
      <c r="G18" s="21">
        <f ca="1">OFFSET(Y!$A$16,MATCH($C$2,Y!$C$11:$C$48345,0),16)</f>
        <v>5527</v>
      </c>
      <c r="H18" s="21">
        <f ca="1">OFFSET(Y!$A$17,MATCH($C$2,Y!$C$11:$C$48345,0),16)</f>
        <v>0</v>
      </c>
      <c r="I18" s="21">
        <f ca="1">OFFSET(Y!$A$18,MATCH($C$2,Y!$C$11:$C$48345,0),16)</f>
        <v>4040</v>
      </c>
      <c r="J18" s="7" t="s">
        <v>27</v>
      </c>
      <c r="K18" s="21">
        <f ca="1">OFFSET(S!$A$11,MATCH($C$2,S!$C$11:$C$47348,0),16)</f>
        <v>2328</v>
      </c>
      <c r="L18" s="21">
        <f ca="1">OFFSET(S!$A$12,MATCH($C$2,S!$C$11:$C$47348,0),16)</f>
        <v>4098</v>
      </c>
      <c r="M18" s="21">
        <f ca="1">OFFSET(S!$A$13,MATCH($C$2,S!$C$11:$C$47348,0),16)</f>
        <v>985</v>
      </c>
      <c r="N18" s="21">
        <f ca="1">OFFSET(S!$A$14,MATCH($C$2,S!$C$11:$C$47348,0),16)</f>
        <v>246</v>
      </c>
      <c r="O18" s="21">
        <f ca="1">OFFSET(S!$A$15,MATCH($C$2,S!$C$11:$C$47348,0),16)</f>
        <v>617</v>
      </c>
      <c r="P18" s="21">
        <f ca="1">OFFSET(S!$A$16,MATCH($C$2,S!$C$11:$C$47348,0),16)</f>
        <v>1338</v>
      </c>
      <c r="Q18" s="21">
        <f ca="1">OFFSET(S!$A$17,MATCH($C$2,S!$C$11:$C$47348,0),16)</f>
        <v>1577</v>
      </c>
      <c r="R18" s="21">
        <f ca="1">OFFSET(S!$A$18,MATCH($C$2,S!$C$11:$C$47348,0),16)</f>
        <v>2434</v>
      </c>
      <c r="S18" s="4"/>
      <c r="T18" s="4"/>
      <c r="U18" s="4"/>
      <c r="V18" s="4"/>
      <c r="W18" s="4"/>
      <c r="X18" s="4"/>
      <c r="Y18" s="4"/>
      <c r="Z18" s="4"/>
      <c r="AA18" s="102"/>
      <c r="AB18" s="108" t="str">
        <f ca="1">OFFSET(D!$A$69,MATCH($C$2,D!$C$54:$C424,0),0)</f>
        <v>100/10</v>
      </c>
      <c r="AC18" s="106">
        <f ca="1">OFFSET(D!A69,MATCH($C$2,D!$C$54:$C$424,0),1)</f>
        <v>37246661</v>
      </c>
      <c r="AD18" s="107">
        <f ca="1">OFFSET(D!A69,MATCH($C$2,D!$C$54:$C$424,0),2)</f>
        <v>0.13350000000000001</v>
      </c>
      <c r="AE18" s="106">
        <f ca="1">OFFSET(D!A69,MATCH($C$2,D!$C$54:$C$424,0),3)</f>
        <v>37372507</v>
      </c>
      <c r="AF18" s="102"/>
      <c r="AG18" s="66"/>
      <c r="AH18" s="66"/>
      <c r="AI18" s="66"/>
      <c r="AJ18" s="66"/>
      <c r="AK18" s="66"/>
      <c r="AL18" s="66"/>
      <c r="AM18" s="66"/>
      <c r="AN18" s="66"/>
      <c r="AO18" s="66"/>
      <c r="AP18" s="66"/>
      <c r="AQ18" s="66"/>
    </row>
    <row r="19" spans="1:43" ht="18.75">
      <c r="A19" s="10" t="s">
        <v>28</v>
      </c>
      <c r="B19" s="19">
        <f ca="1">OFFSET(Y!$A$11,MATCH($C$2,Y!$C$11:$C$48345,0),17)</f>
        <v>0</v>
      </c>
      <c r="C19" s="19">
        <f ca="1">OFFSET(Y!$A$12,MATCH($C$2,Y!$C$11:$C$48345,0),17)</f>
        <v>0</v>
      </c>
      <c r="D19" s="19">
        <f ca="1">OFFSET(Y!$A$13,MATCH($C$2,Y!$C$11:$C$48345,0),17)</f>
        <v>53</v>
      </c>
      <c r="E19" s="19">
        <f ca="1">OFFSET(Y!$A$14,MATCH($C$2,Y!$C$11:$C$48345,0),17)</f>
        <v>452</v>
      </c>
      <c r="F19" s="19">
        <f ca="1">OFFSET(Y!$A$15,MATCH($C$2,Y!$C$11:$C$48345,0),17)</f>
        <v>271</v>
      </c>
      <c r="G19" s="19">
        <f ca="1">OFFSET(Y!$A$16,MATCH($C$2,Y!$C$11:$C$48345,0),17)</f>
        <v>0</v>
      </c>
      <c r="H19" s="19">
        <f ca="1">OFFSET(Y!$A$17,MATCH($C$2,Y!$C$11:$C$48345,0),17)</f>
        <v>0</v>
      </c>
      <c r="I19" s="19">
        <f ca="1">OFFSET(Y!$A$18,MATCH($C$2,Y!$C$11:$C$48345,0),17)</f>
        <v>90</v>
      </c>
      <c r="J19" s="12" t="s">
        <v>28</v>
      </c>
      <c r="K19" s="20">
        <f ca="1">OFFSET(S!$A$11,MATCH($C$2,S!$C$11:$C$47348,0),17)</f>
        <v>0</v>
      </c>
      <c r="L19" s="20">
        <f ca="1">OFFSET(S!$A$12,MATCH($C$2,S!$C$11:$C$47348,0),17)</f>
        <v>0</v>
      </c>
      <c r="M19" s="20">
        <f ca="1">OFFSET(S!$A$13,MATCH($C$2,S!$C$11:$C$47348,0),17)</f>
        <v>0</v>
      </c>
      <c r="N19" s="20">
        <f ca="1">OFFSET(S!$A$14,MATCH($C$2,S!$C$11:$C$47348,0),17)</f>
        <v>0</v>
      </c>
      <c r="O19" s="20">
        <f ca="1">OFFSET(S!$A$15,MATCH($C$2,S!$C$11:$C$47348,0),17)</f>
        <v>0</v>
      </c>
      <c r="P19" s="20">
        <f ca="1">OFFSET(S!$A$16,MATCH($C$2,S!$C$11:$C$47348,0),17)</f>
        <v>0</v>
      </c>
      <c r="Q19" s="20">
        <f ca="1">OFFSET(S!$A$17,MATCH($C$2,S!$C$11:$C$47348,0),17)</f>
        <v>0</v>
      </c>
      <c r="R19" s="20">
        <f ca="1">OFFSET(S!$A$18,MATCH($C$2,S!$C$11:$C$47348,0),17)</f>
        <v>0</v>
      </c>
      <c r="S19" s="4"/>
      <c r="T19" s="167">
        <f>B2</f>
        <v>2330</v>
      </c>
      <c r="U19" s="168"/>
      <c r="V19" s="163" t="str">
        <f>C2</f>
        <v>台積電</v>
      </c>
      <c r="W19" s="164"/>
      <c r="X19" s="4"/>
      <c r="Y19" s="4"/>
      <c r="Z19" s="4"/>
      <c r="AA19" s="102"/>
      <c r="AB19" s="108" t="str">
        <f ca="1">OFFSET(D!$A$70,MATCH($C$2,D!$C$54:$C424,0),0)</f>
        <v>100/09</v>
      </c>
      <c r="AC19" s="106">
        <f ca="1">OFFSET(D!A70,MATCH($C$2,D!$C$54:$C$424,0),1)</f>
        <v>32860849</v>
      </c>
      <c r="AD19" s="107">
        <f ca="1">OFFSET(D!A70,MATCH($C$2,D!$C$54:$C$424,0),2)</f>
        <v>-0.1129</v>
      </c>
      <c r="AE19" s="106">
        <f ca="1">OFFSET(D!A70,MATCH($C$2,D!$C$54:$C$424,0),3)</f>
        <v>36652584</v>
      </c>
      <c r="AF19" s="102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</row>
    <row r="20" spans="1:43">
      <c r="A20" s="7" t="s">
        <v>29</v>
      </c>
      <c r="B20" s="21">
        <f ca="1">OFFSET(Y!$A$11,MATCH($C$2,Y!$C$11:$C$48345,0),18)</f>
        <v>801</v>
      </c>
      <c r="C20" s="21">
        <f ca="1">OFFSET(Y!$A$12,MATCH($C$2,Y!$C$11:$C$48345,0),18)</f>
        <v>313</v>
      </c>
      <c r="D20" s="21">
        <f ca="1">OFFSET(Y!$A$13,MATCH($C$2,Y!$C$11:$C$48345,0),18)</f>
        <v>587</v>
      </c>
      <c r="E20" s="21">
        <f ca="1">OFFSET(Y!$A$14,MATCH($C$2,Y!$C$11:$C$48345,0),18)</f>
        <v>0</v>
      </c>
      <c r="F20" s="21">
        <f ca="1">OFFSET(Y!$A$15,MATCH($C$2,Y!$C$11:$C$48345,0),18)</f>
        <v>0</v>
      </c>
      <c r="G20" s="21">
        <f ca="1">OFFSET(Y!$A$16,MATCH($C$2,Y!$C$11:$C$48345,0),18)</f>
        <v>34</v>
      </c>
      <c r="H20" s="21">
        <f ca="1">OFFSET(Y!$A$17,MATCH($C$2,Y!$C$11:$C$48345,0),18)</f>
        <v>0</v>
      </c>
      <c r="I20" s="21">
        <f ca="1">OFFSET(Y!$A$18,MATCH($C$2,Y!$C$11:$C$48345,0),18)</f>
        <v>0</v>
      </c>
      <c r="J20" s="7" t="s">
        <v>29</v>
      </c>
      <c r="K20" s="21">
        <f ca="1">OFFSET(S!$A$11,MATCH($C$2,S!$C$11:$C$47348,0),18)</f>
        <v>117</v>
      </c>
      <c r="L20" s="21">
        <f ca="1">OFFSET(S!$A$12,MATCH($C$2,S!$C$11:$C$47348,0),18)</f>
        <v>0</v>
      </c>
      <c r="M20" s="21">
        <f ca="1">OFFSET(S!$A$13,MATCH($C$2,S!$C$11:$C$47348,0),18)</f>
        <v>0</v>
      </c>
      <c r="N20" s="21">
        <f ca="1">OFFSET(S!$A$14,MATCH($C$2,S!$C$11:$C$47348,0),18)</f>
        <v>18</v>
      </c>
      <c r="O20" s="21">
        <f ca="1">OFFSET(S!$A$15,MATCH($C$2,S!$C$11:$C$47348,0),18)</f>
        <v>783</v>
      </c>
      <c r="P20" s="21">
        <f ca="1">OFFSET(S!$A$16,MATCH($C$2,S!$C$11:$C$47348,0),18)</f>
        <v>0</v>
      </c>
      <c r="Q20" s="21">
        <f ca="1">OFFSET(S!$A$17,MATCH($C$2,S!$C$11:$C$47348,0),18)</f>
        <v>0</v>
      </c>
      <c r="R20" s="21">
        <f ca="1">OFFSET(S!$A$18,MATCH($C$2,S!$C$11:$C$47348,0),18)</f>
        <v>157</v>
      </c>
      <c r="S20" s="4"/>
      <c r="T20" s="22" t="str">
        <f ca="1">OFFSET(D!$A$55,MATCH($C$2,D!$C$54:$C424,0),4)</f>
        <v>上市櫃日</v>
      </c>
      <c r="U20" s="77">
        <f ca="1">OFFSET(D!$A$55,MATCH($C$2,D!$C$54:$C424,0),5)</f>
        <v>30564</v>
      </c>
      <c r="V20" s="22" t="str">
        <f ca="1">OFFSET(D!$A$55,MATCH($C$2,D!$C$54:$C424,0),6)</f>
        <v>股本 (億)</v>
      </c>
      <c r="W20" s="22">
        <f ca="1">OFFSET(D!$A$55,MATCH($C$2,D!$C$54:$C424,0),7)</f>
        <v>2592.0700000000002</v>
      </c>
      <c r="X20" s="4"/>
      <c r="Y20" s="4"/>
      <c r="Z20" s="4"/>
      <c r="AA20" s="102"/>
      <c r="AB20" s="108" t="str">
        <f ca="1">OFFSET(D!$A$71,MATCH($C$2,D!$C$54:$C424,0),0)</f>
        <v>100/08</v>
      </c>
      <c r="AC20" s="106">
        <f ca="1">OFFSET(D!A71,MATCH($C$2,D!$C$54:$C$424,0),1)</f>
        <v>37041705</v>
      </c>
      <c r="AD20" s="107">
        <f ca="1">OFFSET(D!A71,MATCH($C$2,D!$C$54:$C$424,0),2)</f>
        <v>6.0900000000000003E-2</v>
      </c>
      <c r="AE20" s="106">
        <f ca="1">OFFSET(D!A71,MATCH($C$2,D!$C$54:$C$424,0),3)</f>
        <v>36498090</v>
      </c>
      <c r="AF20" s="102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</row>
    <row r="21" spans="1:43">
      <c r="A21" s="10" t="s">
        <v>30</v>
      </c>
      <c r="B21" s="19">
        <f ca="1">OFFSET(Y!$A$11,MATCH($C$2,Y!$C$11:$C$48345,0),19)</f>
        <v>0</v>
      </c>
      <c r="C21" s="19">
        <f ca="1">OFFSET(Y!$A$12,MATCH($C$2,Y!$C$11:$C$48345,0),19)</f>
        <v>0</v>
      </c>
      <c r="D21" s="19">
        <f ca="1">OFFSET(Y!$A$13,MATCH($C$2,Y!$C$11:$C$48345,0),19)</f>
        <v>0</v>
      </c>
      <c r="E21" s="19">
        <f ca="1">OFFSET(Y!$A$14,MATCH($C$2,Y!$C$11:$C$48345,0),19)</f>
        <v>299</v>
      </c>
      <c r="F21" s="19">
        <f ca="1">OFFSET(Y!$A$15,MATCH($C$2,Y!$C$11:$C$48345,0),19)</f>
        <v>305</v>
      </c>
      <c r="G21" s="19">
        <f ca="1">OFFSET(Y!$A$16,MATCH($C$2,Y!$C$11:$C$48345,0),19)</f>
        <v>596</v>
      </c>
      <c r="H21" s="19">
        <f ca="1">OFFSET(Y!$A$17,MATCH($C$2,Y!$C$11:$C$48345,0),19)</f>
        <v>494</v>
      </c>
      <c r="I21" s="19">
        <f ca="1">OFFSET(Y!$A$18,MATCH($C$2,Y!$C$11:$C$48345,0),19)</f>
        <v>164</v>
      </c>
      <c r="J21" s="12" t="s">
        <v>30</v>
      </c>
      <c r="K21" s="20">
        <f ca="1">OFFSET(S!$A$11,MATCH($C$2,S!$C$11:$C$47348,0),19)</f>
        <v>0</v>
      </c>
      <c r="L21" s="20">
        <f ca="1">OFFSET(S!$A$12,MATCH($C$2,S!$C$11:$C$47348,0),19)</f>
        <v>0</v>
      </c>
      <c r="M21" s="20">
        <f ca="1">OFFSET(S!$A$13,MATCH($C$2,S!$C$11:$C$47348,0),19)</f>
        <v>0</v>
      </c>
      <c r="N21" s="20">
        <f ca="1">OFFSET(S!$A$14,MATCH($C$2,S!$C$11:$C$47348,0),19)</f>
        <v>0</v>
      </c>
      <c r="O21" s="20">
        <f ca="1">OFFSET(S!$A$15,MATCH($C$2,S!$C$11:$C$47348,0),19)</f>
        <v>0</v>
      </c>
      <c r="P21" s="20">
        <f ca="1">OFFSET(S!$A$16,MATCH($C$2,S!$C$11:$C$47348,0),19)</f>
        <v>0</v>
      </c>
      <c r="Q21" s="20">
        <f ca="1">OFFSET(S!$A$17,MATCH($C$2,S!$C$11:$C$47348,0),19)</f>
        <v>0</v>
      </c>
      <c r="R21" s="20">
        <f ca="1">OFFSET(S!$A$18,MATCH($C$2,S!$C$11:$C$47348,0),19)</f>
        <v>0</v>
      </c>
      <c r="S21" s="4"/>
      <c r="T21" s="23" t="str">
        <f ca="1">OFFSET(D!$A$56,MATCH($C$2,D!$C$54:$C424,0),4)</f>
        <v>董監持股率</v>
      </c>
      <c r="U21" s="23">
        <f ca="1">OFFSET(D!$A$56,MATCH($C$2,D!$C$54:$C424,0),5)</f>
        <v>7.1224851000000006E-2</v>
      </c>
      <c r="V21" s="23" t="str">
        <f ca="1">OFFSET(D!$A$56,MATCH($C$2,D!$C$54:$C424,0),6)</f>
        <v>公司市值(E)</v>
      </c>
      <c r="W21" s="80">
        <f ca="1">OFFSET(D!$A$56,MATCH($C$2,D!$C$54:$C424,0),7)</f>
        <v>18481.4591</v>
      </c>
      <c r="X21" s="4"/>
      <c r="Y21" s="4"/>
      <c r="Z21" s="4"/>
      <c r="AA21" s="102"/>
      <c r="AB21" s="108" t="str">
        <f ca="1">OFFSET(D!$A$72,MATCH($C$2,D!$C$54:$C424,0),0)</f>
        <v>100/07</v>
      </c>
      <c r="AC21" s="106">
        <f ca="1">OFFSET(D!A72,MATCH($C$2,D!$C$54:$C$424,0),1)</f>
        <v>34916788</v>
      </c>
      <c r="AD21" s="107">
        <f ca="1">OFFSET(D!A72,MATCH($C$2,D!$C$54:$C$424,0),2)</f>
        <v>-2.07E-2</v>
      </c>
      <c r="AE21" s="106">
        <f ca="1">OFFSET(D!A72,MATCH($C$2,D!$C$54:$C$424,0),3)</f>
        <v>36156392</v>
      </c>
      <c r="AF21" s="102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</row>
    <row r="22" spans="1:43">
      <c r="A22" s="7" t="s">
        <v>31</v>
      </c>
      <c r="B22" s="21">
        <f ca="1">OFFSET(Y!$A$11,MATCH($C$2,Y!$C$11:$C$48345,0),20)</f>
        <v>0</v>
      </c>
      <c r="C22" s="21">
        <f ca="1">OFFSET(Y!$A$12,MATCH($C$2,Y!$C$11:$C$48345,0),20)</f>
        <v>0</v>
      </c>
      <c r="D22" s="21">
        <f ca="1">OFFSET(Y!$A$13,MATCH($C$2,Y!$C$11:$C$48345,0),20)</f>
        <v>0</v>
      </c>
      <c r="E22" s="21">
        <f ca="1">OFFSET(Y!$A$14,MATCH($C$2,Y!$C$11:$C$48345,0),20)</f>
        <v>0</v>
      </c>
      <c r="F22" s="21">
        <f ca="1">OFFSET(Y!$A$15,MATCH($C$2,Y!$C$11:$C$48345,0),20)</f>
        <v>0</v>
      </c>
      <c r="G22" s="21">
        <f ca="1">OFFSET(Y!$A$16,MATCH($C$2,Y!$C$11:$C$48345,0),20)</f>
        <v>0</v>
      </c>
      <c r="H22" s="21">
        <f ca="1">OFFSET(Y!$A$17,MATCH($C$2,Y!$C$11:$C$48345,0),20)</f>
        <v>0</v>
      </c>
      <c r="I22" s="21">
        <f ca="1">OFFSET(Y!$A$18,MATCH($C$2,Y!$C$11:$C$48345,0),20)</f>
        <v>0</v>
      </c>
      <c r="J22" s="7" t="s">
        <v>31</v>
      </c>
      <c r="K22" s="21">
        <f ca="1">OFFSET(S!$A$11,MATCH($C$2,S!$C$11:$C$47348,0),20)</f>
        <v>0</v>
      </c>
      <c r="L22" s="21">
        <f ca="1">OFFSET(S!$A$12,MATCH($C$2,S!$C$11:$C$47348,0),20)</f>
        <v>0</v>
      </c>
      <c r="M22" s="21">
        <f ca="1">OFFSET(S!$A$13,MATCH($C$2,S!$C$11:$C$47348,0),20)</f>
        <v>0</v>
      </c>
      <c r="N22" s="21">
        <f ca="1">OFFSET(S!$A$14,MATCH($C$2,S!$C$11:$C$47348,0),20)</f>
        <v>0</v>
      </c>
      <c r="O22" s="21">
        <f ca="1">OFFSET(S!$A$15,MATCH($C$2,S!$C$11:$C$47348,0),20)</f>
        <v>0</v>
      </c>
      <c r="P22" s="21">
        <f ca="1">OFFSET(S!$A$16,MATCH($C$2,S!$C$11:$C$47348,0),20)</f>
        <v>0</v>
      </c>
      <c r="Q22" s="21">
        <f ca="1">OFFSET(S!$A$17,MATCH($C$2,S!$C$11:$C$47348,0),20)</f>
        <v>0</v>
      </c>
      <c r="R22" s="21">
        <f ca="1">OFFSET(S!$A$18,MATCH($C$2,S!$C$11:$C$47348,0),20)</f>
        <v>0</v>
      </c>
      <c r="S22" s="4"/>
      <c r="T22" s="22" t="str">
        <f ca="1">OFFSET(D!$A$57,MATCH($C$2,D!$C$54:$C424,0),4)</f>
        <v>外資持股率</v>
      </c>
      <c r="U22" s="81">
        <f ca="1">OFFSET(D!$A$57,MATCH($C$2,D!$C$54:$C424,0),5)</f>
        <v>0.775953852</v>
      </c>
      <c r="V22" s="22" t="str">
        <f ca="1">OFFSET(D!$A$57,MATCH($C$2,D!$C$54:$C424,0),6)</f>
        <v>最近毛利率</v>
      </c>
      <c r="W22" s="81">
        <f ca="1">OFFSET(D!$A$57,MATCH($C$2,D!$C$54:$C424,0),7)</f>
        <v>0.48820000000000002</v>
      </c>
      <c r="X22" s="4"/>
      <c r="Y22" s="4"/>
      <c r="Z22" s="4"/>
      <c r="AA22" s="102"/>
      <c r="AB22" s="108" t="str">
        <f ca="1">OFFSET(D!$A$73,MATCH($C$2,D!$C$54:$C424,0),0)</f>
        <v>100/06</v>
      </c>
      <c r="AC22" s="106">
        <f ca="1">OFFSET(D!A73,MATCH($C$2,D!$C$54:$C$424,0),1)</f>
        <v>35653939</v>
      </c>
      <c r="AD22" s="107">
        <f ca="1">OFFSET(D!A73,MATCH($C$2,D!$C$54:$C$424,0),2)</f>
        <v>-8.5000000000000006E-3</v>
      </c>
      <c r="AE22" s="106">
        <f ca="1">OFFSET(D!A73,MATCH($C$2,D!$C$54:$C$424,0),3)</f>
        <v>35113042</v>
      </c>
      <c r="AF22" s="102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</row>
    <row r="23" spans="1:43" ht="18.75" customHeight="1">
      <c r="A23" s="10" t="s">
        <v>32</v>
      </c>
      <c r="B23" s="19">
        <f ca="1">OFFSET(Y!$A$11,MATCH($C$2,Y!$C$11:$C$48345,0),21)</f>
        <v>0</v>
      </c>
      <c r="C23" s="19">
        <f ca="1">OFFSET(Y!$A$12,MATCH($C$2,Y!$C$11:$C$48345,0),21)</f>
        <v>0</v>
      </c>
      <c r="D23" s="19">
        <f ca="1">OFFSET(Y!$A$13,MATCH($C$2,Y!$C$11:$C$48345,0),21)</f>
        <v>0</v>
      </c>
      <c r="E23" s="19">
        <f ca="1">OFFSET(Y!$A$14,MATCH($C$2,Y!$C$11:$C$48345,0),21)</f>
        <v>1113</v>
      </c>
      <c r="F23" s="19">
        <f ca="1">OFFSET(Y!$A$15,MATCH($C$2,Y!$C$11:$C$48345,0),21)</f>
        <v>71</v>
      </c>
      <c r="G23" s="19">
        <f ca="1">OFFSET(Y!$A$16,MATCH($C$2,Y!$C$11:$C$48345,0),21)</f>
        <v>0</v>
      </c>
      <c r="H23" s="19">
        <f ca="1">OFFSET(Y!$A$17,MATCH($C$2,Y!$C$11:$C$48345,0),21)</f>
        <v>0</v>
      </c>
      <c r="I23" s="19">
        <f ca="1">OFFSET(Y!$A$18,MATCH($C$2,Y!$C$11:$C$48345,0),21)</f>
        <v>0</v>
      </c>
      <c r="J23" s="12" t="s">
        <v>32</v>
      </c>
      <c r="K23" s="20">
        <f ca="1">OFFSET(S!$A$11,MATCH($C$2,S!$C$11:$C$47348,0),21)</f>
        <v>-214</v>
      </c>
      <c r="L23" s="20">
        <f ca="1">OFFSET(S!$A$12,MATCH($C$2,S!$C$11:$C$47348,0),21)</f>
        <v>-32</v>
      </c>
      <c r="M23" s="20">
        <f ca="1">OFFSET(S!$A$13,MATCH($C$2,S!$C$11:$C$47348,0),21)</f>
        <v>246</v>
      </c>
      <c r="N23" s="20">
        <f ca="1">OFFSET(S!$A$14,MATCH($C$2,S!$C$11:$C$47348,0),21)</f>
        <v>0</v>
      </c>
      <c r="O23" s="20">
        <f ca="1">OFFSET(S!$A$15,MATCH($C$2,S!$C$11:$C$47348,0),21)</f>
        <v>-322</v>
      </c>
      <c r="P23" s="20">
        <f ca="1">OFFSET(S!$A$16,MATCH($C$2,S!$C$11:$C$47348,0),21)</f>
        <v>-58</v>
      </c>
      <c r="Q23" s="20">
        <f ca="1">OFFSET(S!$A$17,MATCH($C$2,S!$C$11:$C$47348,0),21)</f>
        <v>380</v>
      </c>
      <c r="R23" s="20">
        <f ca="1">OFFSET(S!$A$18,MATCH($C$2,S!$C$11:$C$47348,0),21)</f>
        <v>0</v>
      </c>
      <c r="S23" s="4"/>
      <c r="T23" s="23" t="str">
        <f ca="1">OFFSET(D!$A$58,MATCH($C$2,D!$C$54:$C424,0),4)</f>
        <v>目前本益比</v>
      </c>
      <c r="U23" s="80">
        <f ca="1">OFFSET(D!$A$58,MATCH($C$2,D!$C$54:$C424,0),5)</f>
        <v>15.08</v>
      </c>
      <c r="V23" s="23" t="str">
        <f ca="1">OFFSET(D!$A$58,MATCH($C$2,D!$C$54:$C424,0),6)</f>
        <v>最近營益率</v>
      </c>
      <c r="W23" s="23">
        <f ca="1">OFFSET(D!$A$58,MATCH($C$2,D!$C$54:$C424,0),7)</f>
        <v>0.37240000000000001</v>
      </c>
      <c r="X23" s="109"/>
      <c r="Y23" s="109"/>
      <c r="Z23" s="109"/>
      <c r="AA23" s="102"/>
      <c r="AB23" s="108" t="str">
        <f ca="1">OFFSET(D!$A$74,MATCH($C$2,D!$C$54:$C424,0),0)</f>
        <v>100/05</v>
      </c>
      <c r="AC23" s="106">
        <f ca="1">OFFSET(D!A74,MATCH($C$2,D!$C$54:$C$424,0),1)</f>
        <v>35960997</v>
      </c>
      <c r="AD23" s="107">
        <f ca="1">OFFSET(D!A74,MATCH($C$2,D!$C$54:$C$424,0),2)</f>
        <v>-7.4000000000000003E-3</v>
      </c>
      <c r="AE23" s="106">
        <f ca="1">OFFSET(D!A74,MATCH($C$2,D!$C$54:$C$424,0),3)</f>
        <v>33839484</v>
      </c>
      <c r="AF23" s="102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</row>
    <row r="24" spans="1:43">
      <c r="A24" s="7" t="s">
        <v>33</v>
      </c>
      <c r="B24" s="21">
        <f ca="1">OFFSET(Y!$A$11,MATCH($C$2,Y!$C$11:$C$48345,0),22)</f>
        <v>2011</v>
      </c>
      <c r="C24" s="21">
        <f ca="1">OFFSET(Y!$A$12,MATCH($C$2,Y!$C$11:$C$48345,0),22)</f>
        <v>7720</v>
      </c>
      <c r="D24" s="21">
        <f ca="1">OFFSET(Y!$A$13,MATCH($C$2,Y!$C$11:$C$48345,0),22)</f>
        <v>2364</v>
      </c>
      <c r="E24" s="21">
        <f ca="1">OFFSET(Y!$A$14,MATCH($C$2,Y!$C$11:$C$48345,0),22)</f>
        <v>2060</v>
      </c>
      <c r="F24" s="21">
        <f ca="1">OFFSET(Y!$A$15,MATCH($C$2,Y!$C$11:$C$48345,0),22)</f>
        <v>2356</v>
      </c>
      <c r="G24" s="21">
        <f ca="1">OFFSET(Y!$A$16,MATCH($C$2,Y!$C$11:$C$48345,0),22)</f>
        <v>2057</v>
      </c>
      <c r="H24" s="21">
        <f ca="1">OFFSET(Y!$A$17,MATCH($C$2,Y!$C$11:$C$48345,0),22)</f>
        <v>1808</v>
      </c>
      <c r="I24" s="21">
        <f ca="1">OFFSET(Y!$A$18,MATCH($C$2,Y!$C$11:$C$48345,0),22)</f>
        <v>803</v>
      </c>
      <c r="J24" s="7" t="s">
        <v>33</v>
      </c>
      <c r="K24" s="21">
        <f ca="1">OFFSET(S!$A$11,MATCH($C$2,S!$C$11:$C$47348,0),22)</f>
        <v>188</v>
      </c>
      <c r="L24" s="21">
        <f ca="1">OFFSET(S!$A$12,MATCH($C$2,S!$C$11:$C$47348,0),22)</f>
        <v>871</v>
      </c>
      <c r="M24" s="21">
        <f ca="1">OFFSET(S!$A$13,MATCH($C$2,S!$C$11:$C$47348,0),22)</f>
        <v>116</v>
      </c>
      <c r="N24" s="21">
        <f ca="1">OFFSET(S!$A$14,MATCH($C$2,S!$C$11:$C$47348,0),22)</f>
        <v>529</v>
      </c>
      <c r="O24" s="21">
        <f ca="1">OFFSET(S!$A$15,MATCH($C$2,S!$C$11:$C$47348,0),22)</f>
        <v>363</v>
      </c>
      <c r="P24" s="21">
        <f ca="1">OFFSET(S!$A$16,MATCH($C$2,S!$C$11:$C$47348,0),22)</f>
        <v>765</v>
      </c>
      <c r="Q24" s="21">
        <f ca="1">OFFSET(S!$A$17,MATCH($C$2,S!$C$11:$C$47348,0),22)</f>
        <v>353</v>
      </c>
      <c r="R24" s="21">
        <f ca="1">OFFSET(S!$A$18,MATCH($C$2,S!$C$11:$C$47348,0),22)</f>
        <v>755</v>
      </c>
      <c r="S24" s="4"/>
      <c r="T24" s="22" t="str">
        <f ca="1">OFFSET(D!$A$59,MATCH($C$2,D!$C$54:$C424,0),4)</f>
        <v>股價淨值比</v>
      </c>
      <c r="U24" s="22">
        <f ca="1">OFFSET(D!$A$59,MATCH($C$2,D!$C$54:$C424,0),5)</f>
        <v>3.49</v>
      </c>
      <c r="V24" s="22" t="str">
        <f ca="1">OFFSET(D!$A$59,MATCH($C$2,D!$C$54:$C424,0),6)</f>
        <v>每人營收(仟)</v>
      </c>
      <c r="W24" s="22">
        <f ca="1">OFFSET(D!$A$59,MATCH($C$2,D!$C$54:$C424,0),7)</f>
        <v>3692</v>
      </c>
      <c r="X24" s="109"/>
      <c r="Y24" s="109"/>
      <c r="Z24" s="109"/>
      <c r="AA24" s="102"/>
      <c r="AB24" s="108" t="str">
        <f ca="1">OFFSET(D!$A$75,MATCH($C$2,D!$C$54:$C424,0),0)</f>
        <v>100/04</v>
      </c>
      <c r="AC24" s="106">
        <f ca="1">OFFSET(D!A75,MATCH($C$2,D!$C$54:$C$424,0),1)</f>
        <v>36230359</v>
      </c>
      <c r="AD24" s="107">
        <f ca="1">OFFSET(D!A75,MATCH($C$2,D!$C$54:$C$424,0),2)</f>
        <v>-3.8999999999999998E-3</v>
      </c>
      <c r="AE24" s="106">
        <f ca="1">OFFSET(D!A75,MATCH($C$2,D!$C$54:$C$424,0),3)</f>
        <v>32683232</v>
      </c>
      <c r="AF24" s="102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</row>
    <row r="25" spans="1:43">
      <c r="A25" s="10" t="s">
        <v>36</v>
      </c>
      <c r="B25" s="19">
        <f ca="1">OFFSET(Y!$A$11,MATCH($C$2,Y!$C$11:$C$48345,0),23)</f>
        <v>7287</v>
      </c>
      <c r="C25" s="19">
        <f ca="1">OFFSET(Y!$A$12,MATCH($C$2,Y!$C$11:$C$48345,0),23)</f>
        <v>15908</v>
      </c>
      <c r="D25" s="19">
        <f ca="1">OFFSET(Y!$A$13,MATCH($C$2,Y!$C$11:$C$48345,0),23)</f>
        <v>4122</v>
      </c>
      <c r="E25" s="19">
        <f ca="1">OFFSET(Y!$A$14,MATCH($C$2,Y!$C$11:$C$48345,0),23)</f>
        <v>6726</v>
      </c>
      <c r="F25" s="19">
        <f ca="1">OFFSET(Y!$A$15,MATCH($C$2,Y!$C$11:$C$48345,0),23)</f>
        <v>11106</v>
      </c>
      <c r="G25" s="19">
        <f ca="1">OFFSET(Y!$A$16,MATCH($C$2,Y!$C$11:$C$48345,0),23)</f>
        <v>11597</v>
      </c>
      <c r="H25" s="19">
        <f ca="1">OFFSET(Y!$A$17,MATCH($C$2,Y!$C$11:$C$48345,0),23)</f>
        <v>5072</v>
      </c>
      <c r="I25" s="19">
        <f ca="1">OFFSET(Y!$A$18,MATCH($C$2,Y!$C$11:$C$48345,0),23)</f>
        <v>6860</v>
      </c>
      <c r="J25" s="12" t="s">
        <v>36</v>
      </c>
      <c r="K25" s="20">
        <f ca="1">OFFSET(S!$A$11,MATCH($C$2,S!$C$11:$C$47348,0),23)</f>
        <v>2581</v>
      </c>
      <c r="L25" s="20">
        <f ca="1">OFFSET(S!$A$12,MATCH($C$2,S!$C$11:$C$47348,0),23)</f>
        <v>5168</v>
      </c>
      <c r="M25" s="20">
        <f ca="1">OFFSET(S!$A$13,MATCH($C$2,S!$C$11:$C$47348,0),23)</f>
        <v>1580</v>
      </c>
      <c r="N25" s="20">
        <f ca="1">OFFSET(S!$A$14,MATCH($C$2,S!$C$11:$C$47348,0),23)</f>
        <v>978</v>
      </c>
      <c r="O25" s="20">
        <f ca="1">OFFSET(S!$A$15,MATCH($C$2,S!$C$11:$C$47348,0),23)</f>
        <v>1551</v>
      </c>
      <c r="P25" s="20">
        <f ca="1">OFFSET(S!$A$16,MATCH($C$2,S!$C$11:$C$47348,0),23)</f>
        <v>2298</v>
      </c>
      <c r="Q25" s="20">
        <f ca="1">OFFSET(S!$A$17,MATCH($C$2,S!$C$11:$C$47348,0),23)</f>
        <v>2460</v>
      </c>
      <c r="R25" s="20">
        <f ca="1">OFFSET(S!$A$18,MATCH($C$2,S!$C$11:$C$47348,0),23)</f>
        <v>3555</v>
      </c>
      <c r="S25" s="4"/>
      <c r="T25" s="23" t="str">
        <f ca="1">OFFSET(D!$A$60,MATCH($C$2,D!$C$54:$C424,0),4)</f>
        <v>負債比</v>
      </c>
      <c r="U25" s="79">
        <f ca="1">OFFSET(D!$A$60,MATCH($C$2,D!$C$54:$C424,0),5)</f>
        <v>22.47</v>
      </c>
      <c r="V25" s="23" t="str">
        <f ca="1">OFFSET(D!$A$60,MATCH($C$2,D!$C$54:$C424,0),6)</f>
        <v>每股營收(元)</v>
      </c>
      <c r="W25" s="80">
        <f ca="1">OFFSET(D!$A$60,MATCH($C$2,D!$C$54:$C424,0),7)</f>
        <v>5.45</v>
      </c>
      <c r="X25" s="109"/>
      <c r="Y25" s="109"/>
      <c r="Z25" s="109"/>
      <c r="AA25" s="102"/>
      <c r="AB25" s="108" t="str">
        <f ca="1">OFFSET(D!$A$76,MATCH($C$2,D!$C$54:$C424,0),0)</f>
        <v>100/03</v>
      </c>
      <c r="AC25" s="106">
        <f ca="1">OFFSET(D!A76,MATCH($C$2,D!$C$54:$C$424,0),1)</f>
        <v>36370479</v>
      </c>
      <c r="AD25" s="107">
        <f ca="1">OFFSET(D!A76,MATCH($C$2,D!$C$54:$C$424,0),2)</f>
        <v>0.1454</v>
      </c>
      <c r="AE25" s="106">
        <f ca="1">OFFSET(D!A76,MATCH($C$2,D!$C$54:$C$424,0),3)</f>
        <v>30823003</v>
      </c>
      <c r="AF25" s="102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</row>
    <row r="26" spans="1:43">
      <c r="A26" s="7" t="s">
        <v>39</v>
      </c>
      <c r="B26" s="21">
        <f ca="1">OFFSET(Y!$A$11,MATCH($C$2,Y!$C$11:$C$48345,0),24)</f>
        <v>446</v>
      </c>
      <c r="C26" s="21">
        <f ca="1">OFFSET(Y!$A$12,MATCH($C$2,Y!$C$11:$C$48345,0),24)</f>
        <v>215</v>
      </c>
      <c r="D26" s="21">
        <f ca="1">OFFSET(Y!$A$13,MATCH($C$2,Y!$C$11:$C$48345,0),24)</f>
        <v>142</v>
      </c>
      <c r="E26" s="21">
        <f ca="1">OFFSET(Y!$A$14,MATCH($C$2,Y!$C$11:$C$48345,0),24)</f>
        <v>355</v>
      </c>
      <c r="F26" s="21">
        <f ca="1">OFFSET(Y!$A$15,MATCH($C$2,Y!$C$11:$C$48345,0),24)</f>
        <v>585</v>
      </c>
      <c r="G26" s="21">
        <f ca="1">OFFSET(Y!$A$16,MATCH($C$2,Y!$C$11:$C$48345,0),24)</f>
        <v>661</v>
      </c>
      <c r="H26" s="21">
        <f ca="1">OFFSET(Y!$A$17,MATCH($C$2,Y!$C$11:$C$48345,0),24)</f>
        <v>2430</v>
      </c>
      <c r="I26" s="21">
        <f ca="1">OFFSET(Y!$A$18,MATCH($C$2,Y!$C$11:$C$48345,0),24)</f>
        <v>1353</v>
      </c>
      <c r="J26" s="7" t="s">
        <v>39</v>
      </c>
      <c r="K26" s="21">
        <f ca="1">OFFSET(S!$A$11,MATCH($C$2,S!$C$11:$C$47348,0),24)</f>
        <v>258</v>
      </c>
      <c r="L26" s="21">
        <f ca="1">OFFSET(S!$A$12,MATCH($C$2,S!$C$11:$C$47348,0),24)</f>
        <v>179</v>
      </c>
      <c r="M26" s="21">
        <f ca="1">OFFSET(S!$A$13,MATCH($C$2,S!$C$11:$C$47348,0),24)</f>
        <v>192</v>
      </c>
      <c r="N26" s="21">
        <f ca="1">OFFSET(S!$A$14,MATCH($C$2,S!$C$11:$C$47348,0),24)</f>
        <v>170</v>
      </c>
      <c r="O26" s="21">
        <f ca="1">OFFSET(S!$A$15,MATCH($C$2,S!$C$11:$C$47348,0),24)</f>
        <v>130</v>
      </c>
      <c r="P26" s="21">
        <f ca="1">OFFSET(S!$A$16,MATCH($C$2,S!$C$11:$C$47348,0),24)</f>
        <v>75</v>
      </c>
      <c r="Q26" s="21">
        <f ca="1">OFFSET(S!$A$17,MATCH($C$2,S!$C$11:$C$47348,0),24)</f>
        <v>72</v>
      </c>
      <c r="R26" s="21">
        <f ca="1">OFFSET(S!$A$18,MATCH($C$2,S!$C$11:$C$47348,0),24)</f>
        <v>72</v>
      </c>
      <c r="S26" s="4"/>
      <c r="T26" s="22" t="str">
        <f ca="1">OFFSET(D!$A$61,MATCH($C$2,D!$C$54:$C424,0),4)</f>
        <v>每股淨值</v>
      </c>
      <c r="U26" s="22">
        <f ca="1">OFFSET(D!$A$61,MATCH($C$2,D!$C$54:$C424,0),5)</f>
        <v>26.02</v>
      </c>
      <c r="V26" s="22" t="str">
        <f ca="1">OFFSET(D!$A$61,MATCH($C$2,D!$C$54:$C424,0),6)</f>
        <v>五年ROE</v>
      </c>
      <c r="W26" s="81">
        <f ca="1">OFFSET(D!$A$61,MATCH($C$2,D!$C$54:$C424,0),7)</f>
        <v>0.22716</v>
      </c>
      <c r="X26" s="109"/>
      <c r="Y26" s="109"/>
      <c r="Z26" s="109"/>
      <c r="AA26" s="102"/>
      <c r="AB26" s="108" t="str">
        <f ca="1">OFFSET(D!$A$77,MATCH($C$2,D!$C$54:$C424,0),0)</f>
        <v>100/02</v>
      </c>
      <c r="AC26" s="106">
        <f ca="1">OFFSET(D!A77,MATCH($C$2,D!$C$54:$C$424,0),1)</f>
        <v>31753825</v>
      </c>
      <c r="AD26" s="107">
        <f ca="1">OFFSET(D!A77,MATCH($C$2,D!$C$54:$C$424,0),2)</f>
        <v>-7.7600000000000002E-2</v>
      </c>
      <c r="AE26" s="106">
        <f ca="1">OFFSET(D!A77,MATCH($C$2,D!$C$54:$C$424,0),3)</f>
        <v>29195234</v>
      </c>
      <c r="AF26" s="102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</row>
    <row r="27" spans="1:43" ht="17.25" thickBot="1">
      <c r="A27" s="10" t="s">
        <v>42</v>
      </c>
      <c r="B27" s="19">
        <f ca="1">OFFSET(Y!$A$11,MATCH($C$2,Y!$C$11:$C$48345,0),25)</f>
        <v>0</v>
      </c>
      <c r="C27" s="19">
        <f ca="1">OFFSET(Y!$A$12,MATCH($C$2,Y!$C$11:$C$48345,0),25)</f>
        <v>0</v>
      </c>
      <c r="D27" s="19">
        <f ca="1">OFFSET(Y!$A$13,MATCH($C$2,Y!$C$11:$C$48345,0),25)</f>
        <v>2696</v>
      </c>
      <c r="E27" s="19">
        <f ca="1">OFFSET(Y!$A$14,MATCH($C$2,Y!$C$11:$C$48345,0),25)</f>
        <v>0</v>
      </c>
      <c r="F27" s="19">
        <f ca="1">OFFSET(Y!$A$15,MATCH($C$2,Y!$C$11:$C$48345,0),25)</f>
        <v>0</v>
      </c>
      <c r="G27" s="19">
        <f ca="1">OFFSET(Y!$A$16,MATCH($C$2,Y!$C$11:$C$48345,0),25)</f>
        <v>0</v>
      </c>
      <c r="H27" s="19">
        <f ca="1">OFFSET(Y!$A$17,MATCH($C$2,Y!$C$11:$C$48345,0),25)</f>
        <v>1052</v>
      </c>
      <c r="I27" s="19">
        <f ca="1">OFFSET(Y!$A$18,MATCH($C$2,Y!$C$11:$C$48345,0),25)</f>
        <v>0</v>
      </c>
      <c r="J27" s="12" t="s">
        <v>42</v>
      </c>
      <c r="K27" s="20">
        <f ca="1">OFFSET(S!$A$11,MATCH($C$2,S!$C$11:$C$47348,0),25)</f>
        <v>0</v>
      </c>
      <c r="L27" s="20">
        <f ca="1">OFFSET(S!$A$12,MATCH($C$2,S!$C$11:$C$47348,0),25)</f>
        <v>0</v>
      </c>
      <c r="M27" s="20">
        <f ca="1">OFFSET(S!$A$13,MATCH($C$2,S!$C$11:$C$47348,0),25)</f>
        <v>0</v>
      </c>
      <c r="N27" s="20">
        <f ca="1">OFFSET(S!$A$14,MATCH($C$2,S!$C$11:$C$47348,0),25)</f>
        <v>0</v>
      </c>
      <c r="O27" s="20">
        <f ca="1">OFFSET(S!$A$15,MATCH($C$2,S!$C$11:$C$47348,0),25)</f>
        <v>0</v>
      </c>
      <c r="P27" s="20">
        <f ca="1">OFFSET(S!$A$16,MATCH($C$2,S!$C$11:$C$47348,0),25)</f>
        <v>0</v>
      </c>
      <c r="Q27" s="20">
        <f ca="1">OFFSET(S!$A$17,MATCH($C$2,S!$C$11:$C$47348,0),25)</f>
        <v>0</v>
      </c>
      <c r="R27" s="20">
        <f ca="1">OFFSET(S!$A$18,MATCH($C$2,S!$C$11:$C$47348,0),25)</f>
        <v>0</v>
      </c>
      <c r="S27" s="4"/>
      <c r="T27" s="23" t="str">
        <f ca="1">OFFSET(D!$A$62,MATCH($C$2,D!$C$54:$C424,0),4)</f>
        <v>一年內低價</v>
      </c>
      <c r="U27" s="78">
        <f ca="1">OFFSET(D!$A$62,MATCH($C$2,D!$C$54:$C424,0),5)</f>
        <v>71.3</v>
      </c>
      <c r="V27" s="23" t="str">
        <f ca="1">OFFSET(D!$A$62,MATCH($C$2,D!$C$54:$C424,0),6)</f>
        <v>六年配息率</v>
      </c>
      <c r="W27" s="23">
        <f ca="1">OFFSET(D!$A$62,MATCH($C$2,D!$C$54:$C424,0),7)</f>
        <v>0.67425241700000005</v>
      </c>
      <c r="X27" s="109"/>
      <c r="Y27" s="109"/>
      <c r="Z27" s="109"/>
      <c r="AA27" s="102"/>
      <c r="AB27" s="108" t="str">
        <f ca="1">OFFSET(D!$A$78,MATCH($C$2,D!$C$54:$C424,0),0)</f>
        <v>100/01</v>
      </c>
      <c r="AC27" s="106">
        <f ca="1">OFFSET(D!A78,MATCH($C$2,D!$C$54:$C$424,0),1)</f>
        <v>34424173</v>
      </c>
      <c r="AD27" s="107">
        <f ca="1">OFFSET(D!A78,MATCH($C$2,D!$C$54:$C$424,0),2)</f>
        <v>1.9900000000000001E-2</v>
      </c>
      <c r="AE27" s="106">
        <f ca="1">OFFSET(D!A78,MATCH($C$2,D!$C$54:$C$424,0),3)</f>
        <v>29156271</v>
      </c>
      <c r="AF27" s="102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</row>
    <row r="28" spans="1:43" ht="17.25" thickBot="1">
      <c r="A28" s="7" t="s">
        <v>45</v>
      </c>
      <c r="B28" s="21">
        <f ca="1">OFFSET(Y!$A$11,MATCH($C$2,Y!$C$11:$C$48345,0),26)</f>
        <v>0</v>
      </c>
      <c r="C28" s="21">
        <f ca="1">OFFSET(Y!$A$12,MATCH($C$2,Y!$C$11:$C$48345,0),26)</f>
        <v>0</v>
      </c>
      <c r="D28" s="21">
        <f ca="1">OFFSET(Y!$A$13,MATCH($C$2,Y!$C$11:$C$48345,0),26)</f>
        <v>0</v>
      </c>
      <c r="E28" s="21">
        <f ca="1">OFFSET(Y!$A$14,MATCH($C$2,Y!$C$11:$C$48345,0),26)</f>
        <v>0</v>
      </c>
      <c r="F28" s="21">
        <f ca="1">OFFSET(Y!$A$15,MATCH($C$2,Y!$C$11:$C$48345,0),26)</f>
        <v>0</v>
      </c>
      <c r="G28" s="21">
        <f ca="1">OFFSET(Y!$A$16,MATCH($C$2,Y!$C$11:$C$48345,0),26)</f>
        <v>1624</v>
      </c>
      <c r="H28" s="21">
        <f ca="1">OFFSET(Y!$A$17,MATCH($C$2,Y!$C$11:$C$48345,0),26)</f>
        <v>149</v>
      </c>
      <c r="I28" s="21">
        <f ca="1">OFFSET(Y!$A$18,MATCH($C$2,Y!$C$11:$C$48345,0),26)</f>
        <v>0</v>
      </c>
      <c r="J28" s="7" t="s">
        <v>45</v>
      </c>
      <c r="K28" s="21">
        <f ca="1">OFFSET(S!$A$11,MATCH($C$2,S!$C$11:$C$47348,0),26)</f>
        <v>0</v>
      </c>
      <c r="L28" s="21">
        <f ca="1">OFFSET(S!$A$12,MATCH($C$2,S!$C$11:$C$47348,0),26)</f>
        <v>0</v>
      </c>
      <c r="M28" s="21">
        <f ca="1">OFFSET(S!$A$13,MATCH($C$2,S!$C$11:$C$47348,0),26)</f>
        <v>0</v>
      </c>
      <c r="N28" s="21">
        <f ca="1">OFFSET(S!$A$14,MATCH($C$2,S!$C$11:$C$47348,0),26)</f>
        <v>0</v>
      </c>
      <c r="O28" s="21">
        <f ca="1">OFFSET(S!$A$15,MATCH($C$2,S!$C$11:$C$47348,0),26)</f>
        <v>0</v>
      </c>
      <c r="P28" s="21">
        <f ca="1">OFFSET(S!$A$16,MATCH($C$2,S!$C$11:$C$47348,0),26)</f>
        <v>0</v>
      </c>
      <c r="Q28" s="21">
        <f ca="1">OFFSET(S!$A$17,MATCH($C$2,S!$C$11:$C$47348,0),26)</f>
        <v>0</v>
      </c>
      <c r="R28" s="21">
        <f ca="1">OFFSET(S!$A$18,MATCH($C$2,S!$C$11:$C$47348,0),26)</f>
        <v>0</v>
      </c>
      <c r="S28" s="3"/>
      <c r="T28" s="67" t="s">
        <v>57</v>
      </c>
      <c r="U28" s="60"/>
      <c r="V28" s="68" t="s">
        <v>58</v>
      </c>
      <c r="W28" s="61">
        <f ca="1">U28*U26</f>
        <v>0</v>
      </c>
      <c r="X28" s="109"/>
      <c r="Y28" s="109"/>
      <c r="Z28" s="109"/>
      <c r="AA28" s="102"/>
      <c r="AB28" s="108">
        <f ca="1">OFFSET(D!$A$79,MATCH($C$2,D!$C$54:$C424,0),0)</f>
        <v>36495</v>
      </c>
      <c r="AC28" s="106">
        <f ca="1">OFFSET(D!A79,MATCH($C$2,D!$C$54:$C$424,0),1)</f>
        <v>33751175</v>
      </c>
      <c r="AD28" s="107">
        <f ca="1">OFFSET(D!A79,MATCH($C$2,D!$C$54:$C$424,0),2)</f>
        <v>-5.5199999999999999E-2</v>
      </c>
      <c r="AE28" s="106">
        <f ca="1">OFFSET(D!A79,MATCH($C$2,D!$C$54:$C$424,0),3)</f>
        <v>30466359</v>
      </c>
      <c r="AF28" s="102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</row>
    <row r="29" spans="1:43" ht="17.25" thickBot="1">
      <c r="A29" s="10" t="s">
        <v>48</v>
      </c>
      <c r="B29" s="19">
        <f ca="1">OFFSET(Y!$A$11,MATCH($C$2,Y!$C$11:$C$48345,0),27)</f>
        <v>0</v>
      </c>
      <c r="C29" s="19">
        <f ca="1">OFFSET(Y!$A$12,MATCH($C$2,Y!$C$11:$C$48345,0),27)</f>
        <v>0</v>
      </c>
      <c r="D29" s="19">
        <f ca="1">OFFSET(Y!$A$13,MATCH($C$2,Y!$C$11:$C$48345,0),27)</f>
        <v>0</v>
      </c>
      <c r="E29" s="19">
        <f ca="1">OFFSET(Y!$A$14,MATCH($C$2,Y!$C$11:$C$48345,0),27)</f>
        <v>1478</v>
      </c>
      <c r="F29" s="19">
        <f ca="1">OFFSET(Y!$A$15,MATCH($C$2,Y!$C$11:$C$48345,0),27)</f>
        <v>924</v>
      </c>
      <c r="G29" s="19">
        <f ca="1">OFFSET(Y!$A$16,MATCH($C$2,Y!$C$11:$C$48345,0),27)</f>
        <v>37</v>
      </c>
      <c r="H29" s="19">
        <f ca="1">OFFSET(Y!$A$17,MATCH($C$2,Y!$C$11:$C$48345,0),27)</f>
        <v>337</v>
      </c>
      <c r="I29" s="19">
        <f ca="1">OFFSET(Y!$A$18,MATCH($C$2,Y!$C$11:$C$48345,0),27)</f>
        <v>75</v>
      </c>
      <c r="J29" s="12" t="s">
        <v>48</v>
      </c>
      <c r="K29" s="20">
        <f ca="1">OFFSET(S!$A$11,MATCH($C$2,S!$C$11:$C$47348,0),27)</f>
        <v>-150</v>
      </c>
      <c r="L29" s="20">
        <f ca="1">OFFSET(S!$A$12,MATCH($C$2,S!$C$11:$C$47348,0),27)</f>
        <v>2607</v>
      </c>
      <c r="M29" s="20">
        <f ca="1">OFFSET(S!$A$13,MATCH($C$2,S!$C$11:$C$47348,0),27)</f>
        <v>221</v>
      </c>
      <c r="N29" s="20">
        <f ca="1">OFFSET(S!$A$14,MATCH($C$2,S!$C$11:$C$47348,0),27)</f>
        <v>0</v>
      </c>
      <c r="O29" s="20">
        <f ca="1">OFFSET(S!$A$15,MATCH($C$2,S!$C$11:$C$47348,0),27)</f>
        <v>-197</v>
      </c>
      <c r="P29" s="20">
        <f ca="1">OFFSET(S!$A$16,MATCH($C$2,S!$C$11:$C$47348,0),27)</f>
        <v>-60</v>
      </c>
      <c r="Q29" s="20">
        <f ca="1">OFFSET(S!$A$17,MATCH($C$2,S!$C$11:$C$47348,0),27)</f>
        <v>257</v>
      </c>
      <c r="R29" s="20">
        <f ca="1">OFFSET(S!$A$18,MATCH($C$2,S!$C$11:$C$47348,0),27)</f>
        <v>0</v>
      </c>
      <c r="S29" s="3"/>
      <c r="T29" s="69" t="s">
        <v>60</v>
      </c>
      <c r="U29" s="62"/>
      <c r="V29" s="70" t="s">
        <v>61</v>
      </c>
      <c r="W29" s="63">
        <f ca="1">W28*U29</f>
        <v>0</v>
      </c>
      <c r="X29" s="4"/>
      <c r="Y29" s="4"/>
      <c r="Z29" s="4"/>
      <c r="AA29" s="102"/>
      <c r="AB29" s="108">
        <f ca="1">OFFSET(D!$A$80,MATCH($C$2,D!$C$54:$C424,0),0)</f>
        <v>36465</v>
      </c>
      <c r="AC29" s="106">
        <f ca="1">OFFSET(D!A80,MATCH($C$2,D!$C$54:$C$424,0),1)</f>
        <v>35722299</v>
      </c>
      <c r="AD29" s="107">
        <f ca="1">OFFSET(D!A80,MATCH($C$2,D!$C$54:$C$424,0),2)</f>
        <v>-4.4200000000000003E-2</v>
      </c>
      <c r="AE29" s="106">
        <f ca="1">OFFSET(D!A80,MATCH($C$2,D!$C$54:$C$424,0),3)</f>
        <v>29349036</v>
      </c>
      <c r="AF29" s="102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</row>
    <row r="30" spans="1:43">
      <c r="A30" s="7" t="s">
        <v>51</v>
      </c>
      <c r="B30" s="21">
        <f ca="1">OFFSET(Y!$A$11,MATCH($C$2,Y!$C$11:$C$48345,0),28)</f>
        <v>203</v>
      </c>
      <c r="C30" s="21">
        <f ca="1">OFFSET(Y!$A$12,MATCH($C$2,Y!$C$11:$C$48345,0),28)</f>
        <v>839</v>
      </c>
      <c r="D30" s="21">
        <f ca="1">OFFSET(Y!$A$13,MATCH($C$2,Y!$C$11:$C$48345,0),28)</f>
        <v>0</v>
      </c>
      <c r="E30" s="21">
        <f ca="1">OFFSET(Y!$A$14,MATCH($C$2,Y!$C$11:$C$48345,0),28)</f>
        <v>0</v>
      </c>
      <c r="F30" s="21">
        <f ca="1">OFFSET(Y!$A$15,MATCH($C$2,Y!$C$11:$C$48345,0),28)</f>
        <v>0</v>
      </c>
      <c r="G30" s="21">
        <f ca="1">OFFSET(Y!$A$16,MATCH($C$2,Y!$C$11:$C$48345,0),28)</f>
        <v>241</v>
      </c>
      <c r="H30" s="21">
        <f ca="1">OFFSET(Y!$A$17,MATCH($C$2,Y!$C$11:$C$48345,0),28)</f>
        <v>60</v>
      </c>
      <c r="I30" s="21">
        <f ca="1">OFFSET(Y!$A$18,MATCH($C$2,Y!$C$11:$C$48345,0),28)</f>
        <v>108</v>
      </c>
      <c r="J30" s="7" t="s">
        <v>51</v>
      </c>
      <c r="K30" s="21">
        <f ca="1">OFFSET(S!$A$11,MATCH($C$2,S!$C$11:$C$47348,0),28)</f>
        <v>38</v>
      </c>
      <c r="L30" s="21">
        <f ca="1">OFFSET(S!$A$12,MATCH($C$2,S!$C$11:$C$47348,0),28)</f>
        <v>32</v>
      </c>
      <c r="M30" s="21">
        <f ca="1">OFFSET(S!$A$13,MATCH($C$2,S!$C$11:$C$47348,0),28)</f>
        <v>35</v>
      </c>
      <c r="N30" s="21">
        <f ca="1">OFFSET(S!$A$14,MATCH($C$2,S!$C$11:$C$47348,0),28)</f>
        <v>12</v>
      </c>
      <c r="O30" s="21">
        <f ca="1">OFFSET(S!$A$15,MATCH($C$2,S!$C$11:$C$47348,0),28)</f>
        <v>38</v>
      </c>
      <c r="P30" s="21">
        <f ca="1">OFFSET(S!$A$16,MATCH($C$2,S!$C$11:$C$47348,0),28)</f>
        <v>-11</v>
      </c>
      <c r="Q30" s="21">
        <f ca="1">OFFSET(S!$A$17,MATCH($C$2,S!$C$11:$C$47348,0),28)</f>
        <v>165</v>
      </c>
      <c r="R30" s="21">
        <f ca="1">OFFSET(S!$A$18,MATCH($C$2,S!$C$11:$C$47348,0),28)</f>
        <v>839</v>
      </c>
      <c r="S30" s="3"/>
      <c r="T30" s="25" t="s">
        <v>237</v>
      </c>
      <c r="U30" s="24"/>
      <c r="V30" s="24"/>
      <c r="W30" s="24"/>
      <c r="X30" s="4"/>
      <c r="Y30" s="4"/>
      <c r="Z30" s="4"/>
      <c r="AA30" s="102"/>
      <c r="AB30" s="108">
        <f ca="1">OFFSET(D!$A$81,MATCH($C$2,D!$C$54:$C424,0),0)</f>
        <v>36434</v>
      </c>
      <c r="AC30" s="106">
        <f ca="1">OFFSET(D!A81,MATCH($C$2,D!$C$54:$C$424,0),1)</f>
        <v>37372507</v>
      </c>
      <c r="AD30" s="107">
        <f ca="1">OFFSET(D!A81,MATCH($C$2,D!$C$54:$C$424,0),2)</f>
        <v>1.9599999999999999E-2</v>
      </c>
      <c r="AE30" s="106">
        <f ca="1">OFFSET(D!A81,MATCH($C$2,D!$C$54:$C$424,0),3)</f>
        <v>29180950</v>
      </c>
      <c r="AF30" s="102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</row>
    <row r="31" spans="1:43">
      <c r="A31" s="10" t="s">
        <v>54</v>
      </c>
      <c r="B31" s="19">
        <f ca="1">OFFSET(Y!$A$11,MATCH($C$2,Y!$C$11:$C$48345,0),29)</f>
        <v>673</v>
      </c>
      <c r="C31" s="19">
        <f ca="1">OFFSET(Y!$A$12,MATCH($C$2,Y!$C$11:$C$48345,0),29)</f>
        <v>59</v>
      </c>
      <c r="D31" s="19">
        <f ca="1">OFFSET(Y!$A$13,MATCH($C$2,Y!$C$11:$C$48345,0),29)</f>
        <v>630</v>
      </c>
      <c r="E31" s="19">
        <f ca="1">OFFSET(Y!$A$14,MATCH($C$2,Y!$C$11:$C$48345,0),29)</f>
        <v>0</v>
      </c>
      <c r="F31" s="19">
        <f ca="1">OFFSET(Y!$A$15,MATCH($C$2,Y!$C$11:$C$48345,0),29)</f>
        <v>0</v>
      </c>
      <c r="G31" s="19">
        <f ca="1">OFFSET(Y!$A$16,MATCH($C$2,Y!$C$11:$C$48345,0),29)</f>
        <v>413</v>
      </c>
      <c r="H31" s="19">
        <f ca="1">OFFSET(Y!$A$17,MATCH($C$2,Y!$C$11:$C$48345,0),29)</f>
        <v>34</v>
      </c>
      <c r="I31" s="19">
        <f ca="1">OFFSET(Y!$A$18,MATCH($C$2,Y!$C$11:$C$48345,0),29)</f>
        <v>323</v>
      </c>
      <c r="J31" s="12" t="s">
        <v>54</v>
      </c>
      <c r="K31" s="20">
        <f ca="1">OFFSET(S!$A$11,MATCH($C$2,S!$C$11:$C$47348,0),29)</f>
        <v>17</v>
      </c>
      <c r="L31" s="20">
        <f ca="1">OFFSET(S!$A$12,MATCH($C$2,S!$C$11:$C$47348,0),29)</f>
        <v>0</v>
      </c>
      <c r="M31" s="20">
        <f ca="1">OFFSET(S!$A$13,MATCH($C$2,S!$C$11:$C$47348,0),29)</f>
        <v>0</v>
      </c>
      <c r="N31" s="20">
        <f ca="1">OFFSET(S!$A$14,MATCH($C$2,S!$C$11:$C$47348,0),29)</f>
        <v>15</v>
      </c>
      <c r="O31" s="20">
        <f ca="1">OFFSET(S!$A$15,MATCH($C$2,S!$C$11:$C$47348,0),29)</f>
        <v>658</v>
      </c>
      <c r="P31" s="20">
        <f ca="1">OFFSET(S!$A$16,MATCH($C$2,S!$C$11:$C$47348,0),29)</f>
        <v>0</v>
      </c>
      <c r="Q31" s="20">
        <f ca="1">OFFSET(S!$A$17,MATCH($C$2,S!$C$11:$C$47348,0),29)</f>
        <v>0</v>
      </c>
      <c r="R31" s="20">
        <f ca="1">OFFSET(S!$A$18,MATCH($C$2,S!$C$11:$C$47348,0),29)</f>
        <v>59</v>
      </c>
      <c r="S31" s="3"/>
      <c r="T31" s="28" t="s">
        <v>65</v>
      </c>
      <c r="U31" s="29" t="str">
        <f ca="1">OFFSET(D!$A$66,MATCH($C$2,D!$C$54:$C424,0),5)</f>
        <v>張忠謀</v>
      </c>
      <c r="V31" s="30"/>
      <c r="W31" s="31"/>
      <c r="X31" s="4"/>
      <c r="Y31" s="4"/>
      <c r="Z31" s="4"/>
      <c r="AA31" s="102"/>
      <c r="AB31" s="108">
        <f ca="1">OFFSET(D!$A$82,MATCH($C$2,D!$C$54:$C424,0),0)</f>
        <v>36404</v>
      </c>
      <c r="AC31" s="106">
        <f ca="1">OFFSET(D!A82,MATCH($C$2,D!$C$54:$C$424,0),1)</f>
        <v>36652584</v>
      </c>
      <c r="AD31" s="107">
        <f ca="1">OFFSET(D!A82,MATCH($C$2,D!$C$54:$C$424,0),2)</f>
        <v>4.1999999999999997E-3</v>
      </c>
      <c r="AE31" s="106">
        <f ca="1">OFFSET(D!A82,MATCH($C$2,D!$C$54:$C$424,0),3)</f>
        <v>28024082</v>
      </c>
      <c r="AF31" s="102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</row>
    <row r="32" spans="1:43">
      <c r="A32" s="7" t="s">
        <v>56</v>
      </c>
      <c r="B32" s="21">
        <f ca="1">OFFSET(Y!$A$11,MATCH($C$2,Y!$C$11:$C$48345,0),30)</f>
        <v>0</v>
      </c>
      <c r="C32" s="21">
        <f ca="1">OFFSET(Y!$A$12,MATCH($C$2,Y!$C$11:$C$48345,0),30)</f>
        <v>0</v>
      </c>
      <c r="D32" s="21">
        <f ca="1">OFFSET(Y!$A$13,MATCH($C$2,Y!$C$11:$C$48345,0),30)</f>
        <v>0</v>
      </c>
      <c r="E32" s="21">
        <f ca="1">OFFSET(Y!$A$14,MATCH($C$2,Y!$C$11:$C$48345,0),30)</f>
        <v>0</v>
      </c>
      <c r="F32" s="21">
        <f ca="1">OFFSET(Y!$A$15,MATCH($C$2,Y!$C$11:$C$48345,0),30)</f>
        <v>0</v>
      </c>
      <c r="G32" s="21">
        <f ca="1">OFFSET(Y!$A$16,MATCH($C$2,Y!$C$11:$C$48345,0),30)</f>
        <v>0</v>
      </c>
      <c r="H32" s="21">
        <f ca="1">OFFSET(Y!$A$17,MATCH($C$2,Y!$C$11:$C$48345,0),30)</f>
        <v>0</v>
      </c>
      <c r="I32" s="21">
        <f ca="1">OFFSET(Y!$A$18,MATCH($C$2,Y!$C$11:$C$48345,0),30)</f>
        <v>0</v>
      </c>
      <c r="J32" s="7" t="s">
        <v>56</v>
      </c>
      <c r="K32" s="21">
        <f ca="1">OFFSET(S!$A$11,MATCH($C$2,S!$C$11:$C$47348,0),30)</f>
        <v>0</v>
      </c>
      <c r="L32" s="21">
        <f ca="1">OFFSET(S!$A$12,MATCH($C$2,S!$C$11:$C$47348,0),30)</f>
        <v>0</v>
      </c>
      <c r="M32" s="21">
        <f ca="1">OFFSET(S!$A$13,MATCH($C$2,S!$C$11:$C$47348,0),30)</f>
        <v>0</v>
      </c>
      <c r="N32" s="21">
        <f ca="1">OFFSET(S!$A$14,MATCH($C$2,S!$C$11:$C$47348,0),30)</f>
        <v>0</v>
      </c>
      <c r="O32" s="21">
        <f ca="1">OFFSET(S!$A$15,MATCH($C$2,S!$C$11:$C$47348,0),30)</f>
        <v>0</v>
      </c>
      <c r="P32" s="21">
        <f ca="1">OFFSET(S!$A$16,MATCH($C$2,S!$C$11:$C$47348,0),30)</f>
        <v>0</v>
      </c>
      <c r="Q32" s="21">
        <f ca="1">OFFSET(S!$A$17,MATCH($C$2,S!$C$11:$C$47348,0),30)</f>
        <v>0</v>
      </c>
      <c r="R32" s="21">
        <f ca="1">OFFSET(S!$A$18,MATCH($C$2,S!$C$11:$C$47348,0),30)</f>
        <v>0</v>
      </c>
      <c r="S32" s="3"/>
      <c r="T32" s="28" t="s">
        <v>67</v>
      </c>
      <c r="U32" s="29" t="str">
        <f ca="1">OFFSET(D!$A$67,MATCH($C$2,D!$C$54:$C424,0),5)</f>
        <v>何麗梅</v>
      </c>
      <c r="V32" s="30"/>
      <c r="W32" s="31"/>
      <c r="X32" s="4"/>
      <c r="Y32" s="4"/>
      <c r="Z32" s="4"/>
      <c r="AA32" s="102"/>
      <c r="AB32" s="108">
        <f ca="1">OFFSET(D!$A$83,MATCH($C$2,D!$C$54:$C424,0),0)</f>
        <v>36373</v>
      </c>
      <c r="AC32" s="106">
        <f ca="1">OFFSET(D!A83,MATCH($C$2,D!$C$54:$C$424,0),1)</f>
        <v>36498090</v>
      </c>
      <c r="AD32" s="107">
        <f ca="1">OFFSET(D!A83,MATCH($C$2,D!$C$54:$C$424,0),2)</f>
        <v>9.4999999999999998E-3</v>
      </c>
      <c r="AE32" s="106">
        <f ca="1">OFFSET(D!A83,MATCH($C$2,D!$C$54:$C$424,0),3)</f>
        <v>28887650</v>
      </c>
      <c r="AF32" s="102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</row>
    <row r="33" spans="1:43">
      <c r="A33" s="10" t="s">
        <v>59</v>
      </c>
      <c r="B33" s="19">
        <f ca="1">OFFSET(Y!$A$11,MATCH($C$2,Y!$C$11:$C$48345,0),31)</f>
        <v>163</v>
      </c>
      <c r="C33" s="19">
        <f ca="1">OFFSET(Y!$A$12,MATCH($C$2,Y!$C$11:$C$48345,0),31)</f>
        <v>352</v>
      </c>
      <c r="D33" s="19">
        <f ca="1">OFFSET(Y!$A$13,MATCH($C$2,Y!$C$11:$C$48345,0),31)</f>
        <v>195</v>
      </c>
      <c r="E33" s="19">
        <f ca="1">OFFSET(Y!$A$14,MATCH($C$2,Y!$C$11:$C$48345,0),31)</f>
        <v>424</v>
      </c>
      <c r="F33" s="19">
        <f ca="1">OFFSET(Y!$A$15,MATCH($C$2,Y!$C$11:$C$48345,0),31)</f>
        <v>1097</v>
      </c>
      <c r="G33" s="19">
        <f ca="1">OFFSET(Y!$A$16,MATCH($C$2,Y!$C$11:$C$48345,0),31)</f>
        <v>115</v>
      </c>
      <c r="H33" s="19">
        <f ca="1">OFFSET(Y!$A$17,MATCH($C$2,Y!$C$11:$C$48345,0),31)</f>
        <v>204</v>
      </c>
      <c r="I33" s="19">
        <f ca="1">OFFSET(Y!$A$18,MATCH($C$2,Y!$C$11:$C$48345,0),31)</f>
        <v>45</v>
      </c>
      <c r="J33" s="12" t="s">
        <v>59</v>
      </c>
      <c r="K33" s="20">
        <f ca="1">OFFSET(S!$A$11,MATCH($C$2,S!$C$11:$C$47348,0),31)</f>
        <v>5</v>
      </c>
      <c r="L33" s="20">
        <f ca="1">OFFSET(S!$A$12,MATCH($C$2,S!$C$11:$C$47348,0),31)</f>
        <v>-19</v>
      </c>
      <c r="M33" s="20">
        <f ca="1">OFFSET(S!$A$13,MATCH($C$2,S!$C$11:$C$47348,0),31)</f>
        <v>446</v>
      </c>
      <c r="N33" s="20">
        <f ca="1">OFFSET(S!$A$14,MATCH($C$2,S!$C$11:$C$47348,0),31)</f>
        <v>24</v>
      </c>
      <c r="O33" s="20">
        <f ca="1">OFFSET(S!$A$15,MATCH($C$2,S!$C$11:$C$47348,0),31)</f>
        <v>16</v>
      </c>
      <c r="P33" s="20">
        <f ca="1">OFFSET(S!$A$16,MATCH($C$2,S!$C$11:$C$47348,0),31)</f>
        <v>88</v>
      </c>
      <c r="Q33" s="20">
        <f ca="1">OFFSET(S!$A$17,MATCH($C$2,S!$C$11:$C$47348,0),31)</f>
        <v>34</v>
      </c>
      <c r="R33" s="20">
        <f ca="1">OFFSET(S!$A$18,MATCH($C$2,S!$C$11:$C$47348,0),31)</f>
        <v>47</v>
      </c>
      <c r="S33" s="3"/>
      <c r="T33" s="28" t="s">
        <v>69</v>
      </c>
      <c r="U33" s="29" t="str">
        <f ca="1">OFFSET(D!$A$68,MATCH($C$2,D!$C$54:$C424,0),5)</f>
        <v>03-5636688</v>
      </c>
      <c r="V33" s="30"/>
      <c r="W33" s="31"/>
      <c r="X33" s="4"/>
      <c r="Y33" s="4"/>
      <c r="Z33" s="4"/>
      <c r="AA33" s="102"/>
      <c r="AB33" s="108">
        <f ca="1">OFFSET(D!$A$84,MATCH($C$2,D!$C$54:$C424,0),0)</f>
        <v>36342</v>
      </c>
      <c r="AC33" s="106">
        <f ca="1">OFFSET(D!A84,MATCH($C$2,D!$C$54:$C$424,0),1)</f>
        <v>36156392</v>
      </c>
      <c r="AD33" s="107">
        <f ca="1">OFFSET(D!A84,MATCH($C$2,D!$C$54:$C$424,0),2)</f>
        <v>2.9700000000000001E-2</v>
      </c>
      <c r="AE33" s="106">
        <f ca="1">OFFSET(D!A84,MATCH($C$2,D!$C$54:$C$424,0),3)</f>
        <v>30278581</v>
      </c>
      <c r="AF33" s="102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</row>
    <row r="34" spans="1:43">
      <c r="A34" s="7" t="s">
        <v>62</v>
      </c>
      <c r="B34" s="21">
        <f ca="1">OFFSET(Y!$A$11,MATCH($C$2,Y!$C$11:$C$48345,0),32)</f>
        <v>1485</v>
      </c>
      <c r="C34" s="21">
        <f ca="1">OFFSET(Y!$A$12,MATCH($C$2,Y!$C$11:$C$48345,0),32)</f>
        <v>1464</v>
      </c>
      <c r="D34" s="21">
        <f ca="1">OFFSET(Y!$A$13,MATCH($C$2,Y!$C$11:$C$48345,0),32)</f>
        <v>3663</v>
      </c>
      <c r="E34" s="21">
        <f ca="1">OFFSET(Y!$A$14,MATCH($C$2,Y!$C$11:$C$48345,0),32)</f>
        <v>2257</v>
      </c>
      <c r="F34" s="21">
        <f ca="1">OFFSET(Y!$A$15,MATCH($C$2,Y!$C$11:$C$48345,0),32)</f>
        <v>2606</v>
      </c>
      <c r="G34" s="21">
        <f ca="1">OFFSET(Y!$A$16,MATCH($C$2,Y!$C$11:$C$48345,0),32)</f>
        <v>3090</v>
      </c>
      <c r="H34" s="21">
        <f ca="1">OFFSET(Y!$A$17,MATCH($C$2,Y!$C$11:$C$48345,0),32)</f>
        <v>4266</v>
      </c>
      <c r="I34" s="21">
        <f ca="1">OFFSET(Y!$A$18,MATCH($C$2,Y!$C$11:$C$48345,0),32)</f>
        <v>1904</v>
      </c>
      <c r="J34" s="7" t="s">
        <v>62</v>
      </c>
      <c r="K34" s="21">
        <f ca="1">OFFSET(S!$A$11,MATCH($C$2,S!$C$11:$C$47348,0),32)</f>
        <v>168</v>
      </c>
      <c r="L34" s="21">
        <f ca="1">OFFSET(S!$A$12,MATCH($C$2,S!$C$11:$C$47348,0),32)</f>
        <v>2798</v>
      </c>
      <c r="M34" s="21">
        <f ca="1">OFFSET(S!$A$13,MATCH($C$2,S!$C$11:$C$47348,0),32)</f>
        <v>893</v>
      </c>
      <c r="N34" s="21">
        <f ca="1">OFFSET(S!$A$14,MATCH($C$2,S!$C$11:$C$47348,0),32)</f>
        <v>221</v>
      </c>
      <c r="O34" s="21">
        <f ca="1">OFFSET(S!$A$15,MATCH($C$2,S!$C$11:$C$47348,0),32)</f>
        <v>645</v>
      </c>
      <c r="P34" s="21">
        <f ca="1">OFFSET(S!$A$16,MATCH($C$2,S!$C$11:$C$47348,0),32)</f>
        <v>92</v>
      </c>
      <c r="Q34" s="21">
        <f ca="1">OFFSET(S!$A$17,MATCH($C$2,S!$C$11:$C$47348,0),32)</f>
        <v>527</v>
      </c>
      <c r="R34" s="21">
        <f ca="1">OFFSET(S!$A$18,MATCH($C$2,S!$C$11:$C$47348,0),32)</f>
        <v>1017</v>
      </c>
      <c r="S34" s="64"/>
      <c r="T34" s="28" t="s">
        <v>71</v>
      </c>
      <c r="U34" s="32" t="str">
        <f ca="1">OFFSET(D!$A$69,MATCH($C$2,D!$C$54:$C424,0),5)</f>
        <v>http://www.tsmc.com/</v>
      </c>
      <c r="V34" s="30"/>
      <c r="W34" s="33"/>
      <c r="X34" s="24"/>
      <c r="Y34" s="24"/>
      <c r="Z34" s="24"/>
      <c r="AA34" s="102"/>
      <c r="AB34" s="108">
        <f ca="1">OFFSET(D!$A$85,MATCH($C$2,D!$C$54:$C424,0),0)</f>
        <v>36312</v>
      </c>
      <c r="AC34" s="106">
        <f ca="1">OFFSET(D!A85,MATCH($C$2,D!$C$54:$C$424,0),1)</f>
        <v>35113042</v>
      </c>
      <c r="AD34" s="107">
        <f ca="1">OFFSET(D!A85,MATCH($C$2,D!$C$54:$C$424,0),2)</f>
        <v>3.7600000000000001E-2</v>
      </c>
      <c r="AE34" s="106">
        <f ca="1">OFFSET(D!A85,MATCH($C$2,D!$C$54:$C$424,0),3)</f>
        <v>25777846</v>
      </c>
      <c r="AF34" s="102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</row>
    <row r="35" spans="1:43">
      <c r="A35" s="26" t="s">
        <v>64</v>
      </c>
      <c r="B35" s="19">
        <f ca="1">OFFSET(Y!$A$11,MATCH($C$2,Y!$C$11:$C$48345,0),33)</f>
        <v>5802</v>
      </c>
      <c r="C35" s="19">
        <f ca="1">OFFSET(Y!$A$12,MATCH($C$2,Y!$C$11:$C$48345,0),33)</f>
        <v>14444</v>
      </c>
      <c r="D35" s="19">
        <f ca="1">OFFSET(Y!$A$13,MATCH($C$2,Y!$C$11:$C$48345,0),33)</f>
        <v>459</v>
      </c>
      <c r="E35" s="19">
        <f ca="1">OFFSET(Y!$A$14,MATCH($C$2,Y!$C$11:$C$48345,0),33)</f>
        <v>4469</v>
      </c>
      <c r="F35" s="19">
        <f ca="1">OFFSET(Y!$A$15,MATCH($C$2,Y!$C$11:$C$48345,0),33)</f>
        <v>8500</v>
      </c>
      <c r="G35" s="19">
        <f ca="1">OFFSET(Y!$A$16,MATCH($C$2,Y!$C$11:$C$48345,0),33)</f>
        <v>8507</v>
      </c>
      <c r="H35" s="19">
        <f ca="1">OFFSET(Y!$A$17,MATCH($C$2,Y!$C$11:$C$48345,0),33)</f>
        <v>806</v>
      </c>
      <c r="I35" s="19">
        <f ca="1">OFFSET(Y!$A$18,MATCH($C$2,Y!$C$11:$C$48345,0),33)</f>
        <v>4956</v>
      </c>
      <c r="J35" s="27" t="s">
        <v>64</v>
      </c>
      <c r="K35" s="20">
        <f ca="1">OFFSET(S!$A$11,MATCH($C$2,S!$C$11:$C$47348,0),33)</f>
        <v>2413</v>
      </c>
      <c r="L35" s="20">
        <f ca="1">OFFSET(S!$A$12,MATCH($C$2,S!$C$11:$C$47348,0),33)</f>
        <v>2370</v>
      </c>
      <c r="M35" s="20">
        <f ca="1">OFFSET(S!$A$13,MATCH($C$2,S!$C$11:$C$47348,0),33)</f>
        <v>687</v>
      </c>
      <c r="N35" s="20">
        <f ca="1">OFFSET(S!$A$14,MATCH($C$2,S!$C$11:$C$47348,0),33)</f>
        <v>757</v>
      </c>
      <c r="O35" s="20">
        <f ca="1">OFFSET(S!$A$15,MATCH($C$2,S!$C$11:$C$47348,0),33)</f>
        <v>906</v>
      </c>
      <c r="P35" s="20">
        <f ca="1">OFFSET(S!$A$16,MATCH($C$2,S!$C$11:$C$47348,0),33)</f>
        <v>2206</v>
      </c>
      <c r="Q35" s="20">
        <f ca="1">OFFSET(S!$A$17,MATCH($C$2,S!$C$11:$C$47348,0),33)</f>
        <v>1933</v>
      </c>
      <c r="R35" s="20">
        <f ca="1">OFFSET(S!$A$18,MATCH($C$2,S!$C$11:$C$47348,0),33)</f>
        <v>2538</v>
      </c>
      <c r="S35" s="3"/>
      <c r="T35" s="66"/>
      <c r="U35" s="66"/>
      <c r="V35" s="66"/>
      <c r="W35" s="66"/>
      <c r="X35" s="4"/>
      <c r="Y35" s="4"/>
      <c r="Z35" s="4"/>
      <c r="AA35" s="102"/>
      <c r="AB35" s="108">
        <f ca="1">OFFSET(D!$A$86,MATCH($C$2,D!$C$54:$C424,0),0)</f>
        <v>36281</v>
      </c>
      <c r="AC35" s="106">
        <f ca="1">OFFSET(D!A86,MATCH($C$2,D!$C$54:$C$424,0),1)</f>
        <v>33839484</v>
      </c>
      <c r="AD35" s="107">
        <f ca="1">OFFSET(D!A86,MATCH($C$2,D!$C$54:$C$424,0),2)</f>
        <v>3.5400000000000001E-2</v>
      </c>
      <c r="AE35" s="106">
        <f ca="1">OFFSET(D!A86,MATCH($C$2,D!$C$54:$C$424,0),3)</f>
        <v>24473921</v>
      </c>
      <c r="AF35" s="102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</row>
    <row r="36" spans="1:43">
      <c r="A36" s="7" t="s">
        <v>66</v>
      </c>
      <c r="B36" s="21">
        <f ca="1">OFFSET(Y!$A$11,MATCH($C$2,Y!$C$11:$C$48345,0),34)</f>
        <v>144708</v>
      </c>
      <c r="C36" s="21">
        <f ca="1">OFFSET(Y!$A$12,MATCH($C$2,Y!$C$11:$C$48345,0),34)</f>
        <v>169290</v>
      </c>
      <c r="D36" s="21">
        <f ca="1">OFFSET(Y!$A$13,MATCH($C$2,Y!$C$11:$C$48345,0),34)</f>
        <v>94981</v>
      </c>
      <c r="E36" s="21">
        <f ca="1">OFFSET(Y!$A$14,MATCH($C$2,Y!$C$11:$C$48345,0),34)</f>
        <v>110759</v>
      </c>
      <c r="F36" s="21">
        <f ca="1">OFFSET(Y!$A$15,MATCH($C$2,Y!$C$11:$C$48345,0),34)</f>
        <v>120751</v>
      </c>
      <c r="G36" s="21">
        <f ca="1">OFFSET(Y!$A$16,MATCH($C$2,Y!$C$11:$C$48345,0),34)</f>
        <v>134806</v>
      </c>
      <c r="H36" s="21">
        <f ca="1">OFFSET(Y!$A$17,MATCH($C$2,Y!$C$11:$C$48345,0),34)</f>
        <v>93819</v>
      </c>
      <c r="I36" s="21">
        <f ca="1">OFFSET(Y!$A$18,MATCH($C$2,Y!$C$11:$C$48345,0),34)</f>
        <v>91779</v>
      </c>
      <c r="J36" s="7" t="s">
        <v>66</v>
      </c>
      <c r="K36" s="21">
        <f ca="1">OFFSET(S!$A$11,MATCH($C$2,S!$C$11:$C$47348,0),34)</f>
        <v>53483</v>
      </c>
      <c r="L36" s="21">
        <f ca="1">OFFSET(S!$A$12,MATCH($C$2,S!$C$11:$C$47348,0),34)</f>
        <v>48091</v>
      </c>
      <c r="M36" s="21">
        <f ca="1">OFFSET(S!$A$13,MATCH($C$2,S!$C$11:$C$47348,0),34)</f>
        <v>35727</v>
      </c>
      <c r="N36" s="21">
        <f ca="1">OFFSET(S!$A$14,MATCH($C$2,S!$C$11:$C$47348,0),34)</f>
        <v>33574</v>
      </c>
      <c r="O36" s="21">
        <f ca="1">OFFSET(S!$A$15,MATCH($C$2,S!$C$11:$C$47348,0),34)</f>
        <v>32141</v>
      </c>
      <c r="P36" s="21">
        <f ca="1">OFFSET(S!$A$16,MATCH($C$2,S!$C$11:$C$47348,0),34)</f>
        <v>38910</v>
      </c>
      <c r="Q36" s="21">
        <f ca="1">OFFSET(S!$A$17,MATCH($C$2,S!$C$11:$C$47348,0),34)</f>
        <v>40083</v>
      </c>
      <c r="R36" s="21">
        <f ca="1">OFFSET(S!$A$18,MATCH($C$2,S!$C$11:$C$47348,0),34)</f>
        <v>42617</v>
      </c>
      <c r="S36" s="3"/>
      <c r="T36" s="66"/>
      <c r="U36" s="66"/>
      <c r="V36" s="66"/>
      <c r="W36" s="66"/>
      <c r="X36" s="4"/>
      <c r="Y36" s="4"/>
      <c r="Z36" s="4"/>
      <c r="AA36" s="102"/>
      <c r="AB36" s="108">
        <f ca="1">OFFSET(D!$A$87,MATCH($C$2,D!$C$54:$C424,0),0)</f>
        <v>36251</v>
      </c>
      <c r="AC36" s="106">
        <f ca="1">OFFSET(D!A87,MATCH($C$2,D!$C$54:$C$424,0),1)</f>
        <v>32683232</v>
      </c>
      <c r="AD36" s="107">
        <f ca="1">OFFSET(D!A87,MATCH($C$2,D!$C$54:$C$424,0),2)</f>
        <v>6.0400000000000002E-2</v>
      </c>
      <c r="AE36" s="106">
        <f ca="1">OFFSET(D!A87,MATCH($C$2,D!$C$54:$C$424,0),3)</f>
        <v>21744749</v>
      </c>
      <c r="AF36" s="102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</row>
    <row r="37" spans="1:43">
      <c r="A37" s="10" t="s">
        <v>68</v>
      </c>
      <c r="B37" s="19">
        <f ca="1">OFFSET(Y!$A$11,MATCH($C$2,Y!$C$11:$C$48345,0),35)</f>
        <v>10507</v>
      </c>
      <c r="C37" s="19">
        <f ca="1">OFFSET(Y!$A$12,MATCH($C$2,Y!$C$11:$C$48345,0),35)</f>
        <v>7685</v>
      </c>
      <c r="D37" s="19">
        <f ca="1">OFFSET(Y!$A$13,MATCH($C$2,Y!$C$11:$C$48345,0),35)</f>
        <v>5763</v>
      </c>
      <c r="E37" s="19">
        <f ca="1">OFFSET(Y!$A$14,MATCH($C$2,Y!$C$11:$C$48345,0),35)</f>
        <v>10826</v>
      </c>
      <c r="F37" s="19">
        <f ca="1">OFFSET(Y!$A$15,MATCH($C$2,Y!$C$11:$C$48345,0),35)</f>
        <v>11574</v>
      </c>
      <c r="G37" s="19">
        <f ca="1">OFFSET(Y!$A$16,MATCH($C$2,Y!$C$11:$C$48345,0),35)</f>
        <v>7551</v>
      </c>
      <c r="H37" s="19">
        <f ca="1">OFFSET(Y!$A$17,MATCH($C$2,Y!$C$11:$C$48345,0),35)</f>
        <v>244</v>
      </c>
      <c r="I37" s="19">
        <f ca="1">OFFSET(Y!$A$18,MATCH($C$2,Y!$C$11:$C$48345,0),35)</f>
        <v>-538</v>
      </c>
      <c r="J37" s="12" t="s">
        <v>68</v>
      </c>
      <c r="K37" s="20">
        <f ca="1">OFFSET(S!$A$11,MATCH($C$2,S!$C$11:$C$47348,0),35)</f>
        <v>4181</v>
      </c>
      <c r="L37" s="20">
        <f ca="1">OFFSET(S!$A$12,MATCH($C$2,S!$C$11:$C$47348,0),35)</f>
        <v>6278</v>
      </c>
      <c r="M37" s="20">
        <f ca="1">OFFSET(S!$A$13,MATCH($C$2,S!$C$11:$C$47348,0),35)</f>
        <v>2253</v>
      </c>
      <c r="N37" s="20">
        <f ca="1">OFFSET(S!$A$14,MATCH($C$2,S!$C$11:$C$47348,0),35)</f>
        <v>1996</v>
      </c>
      <c r="O37" s="20">
        <f ca="1">OFFSET(S!$A$15,MATCH($C$2,S!$C$11:$C$47348,0),35)</f>
        <v>1746</v>
      </c>
      <c r="P37" s="20">
        <f ca="1">OFFSET(S!$A$16,MATCH($C$2,S!$C$11:$C$47348,0),35)</f>
        <v>2959</v>
      </c>
      <c r="Q37" s="20">
        <f ca="1">OFFSET(S!$A$17,MATCH($C$2,S!$C$11:$C$47348,0),35)</f>
        <v>3805</v>
      </c>
      <c r="R37" s="20">
        <f ca="1">OFFSET(S!$A$18,MATCH($C$2,S!$C$11:$C$47348,0),35)</f>
        <v>1896</v>
      </c>
      <c r="S37" s="3"/>
      <c r="T37" s="66"/>
      <c r="U37" s="66"/>
      <c r="V37" s="66"/>
      <c r="W37" s="66"/>
      <c r="X37" s="4"/>
      <c r="Y37" s="4"/>
      <c r="Z37" s="4"/>
      <c r="AA37" s="102"/>
      <c r="AB37" s="108">
        <f ca="1">OFFSET(D!$A$88,MATCH($C$2,D!$C$54:$C424,0),0)</f>
        <v>36220</v>
      </c>
      <c r="AC37" s="106">
        <f ca="1">OFFSET(D!A88,MATCH($C$2,D!$C$54:$C$424,0),1)</f>
        <v>30823003</v>
      </c>
      <c r="AD37" s="107">
        <f ca="1">OFFSET(D!A88,MATCH($C$2,D!$C$54:$C$424,0),2)</f>
        <v>5.5800000000000002E-2</v>
      </c>
      <c r="AE37" s="106">
        <f ca="1">OFFSET(D!A88,MATCH($C$2,D!$C$54:$C$424,0),3)</f>
        <v>13619497</v>
      </c>
      <c r="AF37" s="102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</row>
    <row r="38" spans="1:43">
      <c r="A38" s="7" t="s">
        <v>70</v>
      </c>
      <c r="B38" s="21">
        <f ca="1">OFFSET(Y!$A$11,MATCH($C$2,Y!$C$11:$C$48345,0),36)</f>
        <v>134201</v>
      </c>
      <c r="C38" s="21">
        <f ca="1">OFFSET(Y!$A$12,MATCH($C$2,Y!$C$11:$C$48345,0),36)</f>
        <v>161605</v>
      </c>
      <c r="D38" s="21">
        <f ca="1">OFFSET(Y!$A$13,MATCH($C$2,Y!$C$11:$C$48345,0),36)</f>
        <v>89218</v>
      </c>
      <c r="E38" s="21">
        <f ca="1">OFFSET(Y!$A$14,MATCH($C$2,Y!$C$11:$C$48345,0),36)</f>
        <v>99933</v>
      </c>
      <c r="F38" s="21">
        <f ca="1">OFFSET(Y!$A$15,MATCH($C$2,Y!$C$11:$C$48345,0),36)</f>
        <v>109177</v>
      </c>
      <c r="G38" s="21">
        <f ca="1">OFFSET(Y!$A$16,MATCH($C$2,Y!$C$11:$C$48345,0),36)</f>
        <v>127256</v>
      </c>
      <c r="H38" s="21">
        <f ca="1">OFFSET(Y!$A$17,MATCH($C$2,Y!$C$11:$C$48345,0),36)</f>
        <v>93575</v>
      </c>
      <c r="I38" s="21">
        <f ca="1">OFFSET(Y!$A$18,MATCH($C$2,Y!$C$11:$C$48345,0),36)</f>
        <v>92316</v>
      </c>
      <c r="J38" s="7" t="s">
        <v>70</v>
      </c>
      <c r="K38" s="21">
        <f ca="1">OFFSET(S!$A$11,MATCH($C$2,S!$C$11:$C$47348,0),36)</f>
        <v>49303</v>
      </c>
      <c r="L38" s="21">
        <f ca="1">OFFSET(S!$A$12,MATCH($C$2,S!$C$11:$C$47348,0),36)</f>
        <v>41813</v>
      </c>
      <c r="M38" s="21">
        <f ca="1">OFFSET(S!$A$13,MATCH($C$2,S!$C$11:$C$47348,0),36)</f>
        <v>33474</v>
      </c>
      <c r="N38" s="21">
        <f ca="1">OFFSET(S!$A$14,MATCH($C$2,S!$C$11:$C$47348,0),36)</f>
        <v>31579</v>
      </c>
      <c r="O38" s="21">
        <f ca="1">OFFSET(S!$A$15,MATCH($C$2,S!$C$11:$C$47348,0),36)</f>
        <v>30395</v>
      </c>
      <c r="P38" s="21">
        <f ca="1">OFFSET(S!$A$16,MATCH($C$2,S!$C$11:$C$47348,0),36)</f>
        <v>35950</v>
      </c>
      <c r="Q38" s="21">
        <f ca="1">OFFSET(S!$A$17,MATCH($C$2,S!$C$11:$C$47348,0),36)</f>
        <v>36278</v>
      </c>
      <c r="R38" s="21">
        <f ca="1">OFFSET(S!$A$18,MATCH($C$2,S!$C$11:$C$47348,0),36)</f>
        <v>40720</v>
      </c>
      <c r="S38" s="3"/>
      <c r="X38" s="4"/>
      <c r="Y38" s="4"/>
      <c r="Z38" s="4"/>
      <c r="AA38" s="102"/>
      <c r="AB38" s="108">
        <f ca="1">OFFSET(D!$A$89,MATCH($C$2,D!$C$54:$C424,0),0)</f>
        <v>36192</v>
      </c>
      <c r="AC38" s="106">
        <f ca="1">OFFSET(D!A89,MATCH($C$2,D!$C$54:$C$424,0),1)</f>
        <v>29195234</v>
      </c>
      <c r="AD38" s="107">
        <f ca="1">OFFSET(D!A89,MATCH($C$2,D!$C$54:$C$424,0),2)</f>
        <v>1.2999999999999999E-3</v>
      </c>
      <c r="AE38" s="106">
        <f ca="1">OFFSET(D!A89,MATCH($C$2,D!$C$54:$C$424,0),3)</f>
        <v>11503819</v>
      </c>
      <c r="AF38" s="102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</row>
    <row r="39" spans="1:43">
      <c r="A39" s="10" t="s">
        <v>72</v>
      </c>
      <c r="B39" s="19">
        <f ca="1">OFFSET(Y!$A$11,MATCH($C$2,Y!$C$11:$C$48345,0),37)</f>
        <v>0</v>
      </c>
      <c r="C39" s="19">
        <f ca="1">OFFSET(Y!$A$12,MATCH($C$2,Y!$C$11:$C$48345,0),37)</f>
        <v>0</v>
      </c>
      <c r="D39" s="19">
        <f ca="1">OFFSET(Y!$A$13,MATCH($C$2,Y!$C$11:$C$48345,0),37)</f>
        <v>0</v>
      </c>
      <c r="E39" s="19">
        <f ca="1">OFFSET(Y!$A$14,MATCH($C$2,Y!$C$11:$C$48345,0),37)</f>
        <v>0</v>
      </c>
      <c r="F39" s="19">
        <f ca="1">OFFSET(Y!$A$15,MATCH($C$2,Y!$C$11:$C$48345,0),37)</f>
        <v>0</v>
      </c>
      <c r="G39" s="19">
        <f ca="1">OFFSET(Y!$A$16,MATCH($C$2,Y!$C$11:$C$48345,0),37)</f>
        <v>0</v>
      </c>
      <c r="H39" s="19">
        <f ca="1">OFFSET(Y!$A$17,MATCH($C$2,Y!$C$11:$C$48345,0),37)</f>
        <v>0</v>
      </c>
      <c r="I39" s="19">
        <f ca="1">OFFSET(Y!$A$18,MATCH($C$2,Y!$C$11:$C$48345,0),37)</f>
        <v>0</v>
      </c>
      <c r="J39" s="12" t="s">
        <v>72</v>
      </c>
      <c r="K39" s="20">
        <f ca="1">OFFSET(S!$A$11,MATCH($C$2,S!$C$11:$C$47348,0),37)</f>
        <v>0</v>
      </c>
      <c r="L39" s="20">
        <f ca="1">OFFSET(S!$A$12,MATCH($C$2,S!$C$11:$C$47348,0),37)</f>
        <v>0</v>
      </c>
      <c r="M39" s="20">
        <f ca="1">OFFSET(S!$A$13,MATCH($C$2,S!$C$11:$C$47348,0),37)</f>
        <v>0</v>
      </c>
      <c r="N39" s="20">
        <f ca="1">OFFSET(S!$A$14,MATCH($C$2,S!$C$11:$C$47348,0),37)</f>
        <v>0</v>
      </c>
      <c r="O39" s="20">
        <f ca="1">OFFSET(S!$A$15,MATCH($C$2,S!$C$11:$C$47348,0),37)</f>
        <v>0</v>
      </c>
      <c r="P39" s="20">
        <f ca="1">OFFSET(S!$A$16,MATCH($C$2,S!$C$11:$C$47348,0),37)</f>
        <v>0</v>
      </c>
      <c r="Q39" s="20">
        <f ca="1">OFFSET(S!$A$17,MATCH($C$2,S!$C$11:$C$47348,0),37)</f>
        <v>0</v>
      </c>
      <c r="R39" s="20">
        <f ca="1">OFFSET(S!$A$18,MATCH($C$2,S!$C$11:$C$47348,0),37)</f>
        <v>0</v>
      </c>
      <c r="S39" s="3"/>
      <c r="T39" s="3"/>
      <c r="U39" s="3"/>
      <c r="V39" s="3"/>
      <c r="W39" s="3"/>
      <c r="X39" s="4"/>
      <c r="Y39" s="4"/>
      <c r="Z39" s="4"/>
      <c r="AA39" s="102"/>
      <c r="AB39" s="108">
        <f ca="1">OFFSET(D!$A$90,MATCH($C$2,D!$C$54:$C424,0),0)</f>
        <v>36161</v>
      </c>
      <c r="AC39" s="106">
        <f ca="1">OFFSET(D!A90,MATCH($C$2,D!$C$54:$C$424,0),1)</f>
        <v>29156271</v>
      </c>
      <c r="AD39" s="107">
        <f ca="1">OFFSET(D!A90,MATCH($C$2,D!$C$54:$C$424,0),2)</f>
        <v>-4.2999999999999997E-2</v>
      </c>
      <c r="AE39" s="106">
        <f ca="1">OFFSET(D!A90,MATCH($C$2,D!$C$54:$C$424,0),3)</f>
        <v>12436378</v>
      </c>
      <c r="AF39" s="102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</row>
    <row r="40" spans="1:43">
      <c r="A40" s="7" t="s">
        <v>73</v>
      </c>
      <c r="B40" s="21">
        <f ca="1">OFFSET(Y!$A$11,MATCH($C$2,Y!$C$11:$C$48345,0),38)</f>
        <v>0</v>
      </c>
      <c r="C40" s="21">
        <f ca="1">OFFSET(Y!$A$12,MATCH($C$2,Y!$C$11:$C$48345,0),38)</f>
        <v>0</v>
      </c>
      <c r="D40" s="21">
        <f ca="1">OFFSET(Y!$A$13,MATCH($C$2,Y!$C$11:$C$48345,0),38)</f>
        <v>0</v>
      </c>
      <c r="E40" s="21">
        <f ca="1">OFFSET(Y!$A$14,MATCH($C$2,Y!$C$11:$C$48345,0),38)</f>
        <v>0</v>
      </c>
      <c r="F40" s="21">
        <f ca="1">OFFSET(Y!$A$15,MATCH($C$2,Y!$C$11:$C$48345,0),38)</f>
        <v>0</v>
      </c>
      <c r="G40" s="21">
        <f ca="1">OFFSET(Y!$A$16,MATCH($C$2,Y!$C$11:$C$48345,0),38)</f>
        <v>0</v>
      </c>
      <c r="H40" s="21">
        <f ca="1">OFFSET(Y!$A$17,MATCH($C$2,Y!$C$11:$C$48345,0),38)</f>
        <v>0</v>
      </c>
      <c r="I40" s="21">
        <f ca="1">OFFSET(Y!$A$18,MATCH($C$2,Y!$C$11:$C$48345,0),38)</f>
        <v>0</v>
      </c>
      <c r="J40" s="7" t="s">
        <v>73</v>
      </c>
      <c r="K40" s="21">
        <f ca="1">OFFSET(S!$A$11,MATCH($C$2,S!$C$11:$C$47348,0),38)</f>
        <v>0</v>
      </c>
      <c r="L40" s="21">
        <f ca="1">OFFSET(S!$A$12,MATCH($C$2,S!$C$11:$C$47348,0),38)</f>
        <v>0</v>
      </c>
      <c r="M40" s="21">
        <f ca="1">OFFSET(S!$A$13,MATCH($C$2,S!$C$11:$C$47348,0),38)</f>
        <v>0</v>
      </c>
      <c r="N40" s="21">
        <f ca="1">OFFSET(S!$A$14,MATCH($C$2,S!$C$11:$C$47348,0),38)</f>
        <v>0</v>
      </c>
      <c r="O40" s="21">
        <f ca="1">OFFSET(S!$A$15,MATCH($C$2,S!$C$11:$C$47348,0),38)</f>
        <v>0</v>
      </c>
      <c r="P40" s="21">
        <f ca="1">OFFSET(S!$A$16,MATCH($C$2,S!$C$11:$C$47348,0),38)</f>
        <v>0</v>
      </c>
      <c r="Q40" s="21">
        <f ca="1">OFFSET(S!$A$17,MATCH($C$2,S!$C$11:$C$47348,0),38)</f>
        <v>0</v>
      </c>
      <c r="R40" s="21">
        <f ca="1">OFFSET(S!$A$18,MATCH($C$2,S!$C$11:$C$47348,0),38)</f>
        <v>0</v>
      </c>
      <c r="S40" s="3"/>
      <c r="T40" s="3"/>
      <c r="U40" s="3"/>
      <c r="V40" s="3"/>
      <c r="W40" s="3"/>
      <c r="X40" s="4"/>
      <c r="Y40" s="4"/>
      <c r="Z40" s="4"/>
      <c r="AA40" s="102"/>
      <c r="AB40" s="108">
        <f ca="1">OFFSET(D!$A$91,MATCH($C$2,D!$C$54:$C424,0),0)</f>
        <v>36130</v>
      </c>
      <c r="AC40" s="106">
        <f ca="1">OFFSET(D!A91,MATCH($C$2,D!$C$54:$C$424,0),1)</f>
        <v>30466359</v>
      </c>
      <c r="AD40" s="107">
        <f ca="1">OFFSET(D!A91,MATCH($C$2,D!$C$54:$C$424,0),2)</f>
        <v>3.8100000000000002E-2</v>
      </c>
      <c r="AE40" s="106">
        <f ca="1">OFFSET(D!A91,MATCH($C$2,D!$C$54:$C$424,0),3)</f>
        <v>13160762</v>
      </c>
      <c r="AF40" s="102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</row>
    <row r="41" spans="1:43">
      <c r="A41" s="10" t="s">
        <v>74</v>
      </c>
      <c r="B41" s="19">
        <f ca="1">OFFSET(Y!$A$11,MATCH($C$2,Y!$C$11:$C$48345,0),39)</f>
        <v>0</v>
      </c>
      <c r="C41" s="19">
        <f ca="1">OFFSET(Y!$A$12,MATCH($C$2,Y!$C$11:$C$48345,0),39)</f>
        <v>0</v>
      </c>
      <c r="D41" s="19">
        <f ca="1">OFFSET(Y!$A$13,MATCH($C$2,Y!$C$11:$C$48345,0),39)</f>
        <v>0</v>
      </c>
      <c r="E41" s="19">
        <f ca="1">OFFSET(Y!$A$14,MATCH($C$2,Y!$C$11:$C$48345,0),39)</f>
        <v>0</v>
      </c>
      <c r="F41" s="19">
        <f ca="1">OFFSET(Y!$A$15,MATCH($C$2,Y!$C$11:$C$48345,0),39)</f>
        <v>0</v>
      </c>
      <c r="G41" s="19">
        <f ca="1">OFFSET(Y!$A$16,MATCH($C$2,Y!$C$11:$C$48345,0),39)</f>
        <v>-246</v>
      </c>
      <c r="H41" s="19">
        <f ca="1">OFFSET(Y!$A$17,MATCH($C$2,Y!$C$11:$C$48345,0),39)</f>
        <v>0</v>
      </c>
      <c r="I41" s="19">
        <f ca="1">OFFSET(Y!$A$18,MATCH($C$2,Y!$C$11:$C$48345,0),39)</f>
        <v>0</v>
      </c>
      <c r="J41" s="12" t="s">
        <v>74</v>
      </c>
      <c r="K41" s="20">
        <f ca="1">OFFSET(S!$A$11,MATCH($C$2,S!$C$11:$C$47348,0),39)</f>
        <v>0</v>
      </c>
      <c r="L41" s="20">
        <f ca="1">OFFSET(S!$A$12,MATCH($C$2,S!$C$11:$C$47348,0),39)</f>
        <v>0</v>
      </c>
      <c r="M41" s="20">
        <f ca="1">OFFSET(S!$A$13,MATCH($C$2,S!$C$11:$C$47348,0),39)</f>
        <v>0</v>
      </c>
      <c r="N41" s="20">
        <f ca="1">OFFSET(S!$A$14,MATCH($C$2,S!$C$11:$C$47348,0),39)</f>
        <v>0</v>
      </c>
      <c r="O41" s="20">
        <f ca="1">OFFSET(S!$A$15,MATCH($C$2,S!$C$11:$C$47348,0),39)</f>
        <v>0</v>
      </c>
      <c r="P41" s="20">
        <f ca="1">OFFSET(S!$A$16,MATCH($C$2,S!$C$11:$C$47348,0),39)</f>
        <v>0</v>
      </c>
      <c r="Q41" s="20">
        <f ca="1">OFFSET(S!$A$17,MATCH($C$2,S!$C$11:$C$47348,0),39)</f>
        <v>0</v>
      </c>
      <c r="R41" s="20">
        <f ca="1">OFFSET(S!$A$18,MATCH($C$2,S!$C$11:$C$47348,0),39)</f>
        <v>0</v>
      </c>
      <c r="S41" s="3"/>
      <c r="T41" s="3"/>
      <c r="U41" s="3"/>
      <c r="V41" s="3"/>
      <c r="W41" s="3"/>
      <c r="X41" s="4"/>
      <c r="Y41" s="4"/>
      <c r="Z41" s="4"/>
      <c r="AA41" s="102"/>
      <c r="AB41" s="108">
        <f ca="1">OFFSET(D!$A$92,MATCH($C$2,D!$C$54:$C424,0),0)</f>
        <v>36100</v>
      </c>
      <c r="AC41" s="106">
        <f ca="1">OFFSET(D!A92,MATCH($C$2,D!$C$54:$C$424,0),1)</f>
        <v>29349036</v>
      </c>
      <c r="AD41" s="107">
        <f ca="1">OFFSET(D!A92,MATCH($C$2,D!$C$54:$C$424,0),2)</f>
        <v>5.7999999999999996E-3</v>
      </c>
      <c r="AE41" s="106">
        <f ca="1">OFFSET(D!A92,MATCH($C$2,D!$C$54:$C$424,0),3)</f>
        <v>19294770</v>
      </c>
      <c r="AF41" s="102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</row>
    <row r="42" spans="1:43">
      <c r="A42" s="7" t="s">
        <v>75</v>
      </c>
      <c r="B42" s="21">
        <f ca="1">OFFSET(Y!$A$11,MATCH($C$2,Y!$C$11:$C$48345,0),40)</f>
        <v>134201</v>
      </c>
      <c r="C42" s="21">
        <f ca="1">OFFSET(Y!$A$12,MATCH($C$2,Y!$C$11:$C$48345,0),40)</f>
        <v>161605</v>
      </c>
      <c r="D42" s="21">
        <f ca="1">OFFSET(Y!$A$13,MATCH($C$2,Y!$C$11:$C$48345,0),40)</f>
        <v>89218</v>
      </c>
      <c r="E42" s="21">
        <f ca="1">OFFSET(Y!$A$14,MATCH($C$2,Y!$C$11:$C$48345,0),40)</f>
        <v>99933</v>
      </c>
      <c r="F42" s="21">
        <f ca="1">OFFSET(Y!$A$15,MATCH($C$2,Y!$C$11:$C$48345,0),40)</f>
        <v>109177</v>
      </c>
      <c r="G42" s="21">
        <f ca="1">OFFSET(Y!$A$16,MATCH($C$2,Y!$C$11:$C$48345,0),40)</f>
        <v>127010</v>
      </c>
      <c r="H42" s="21">
        <f ca="1">OFFSET(Y!$A$17,MATCH($C$2,Y!$C$11:$C$48345,0),40)</f>
        <v>93575</v>
      </c>
      <c r="I42" s="21">
        <f ca="1">OFFSET(Y!$A$18,MATCH($C$2,Y!$C$11:$C$48345,0),40)</f>
        <v>92316</v>
      </c>
      <c r="J42" s="7" t="s">
        <v>75</v>
      </c>
      <c r="K42" s="21">
        <f ca="1">OFFSET(S!$A$11,MATCH($C$2,S!$C$11:$C$47348,0),40)</f>
        <v>49303</v>
      </c>
      <c r="L42" s="21">
        <f ca="1">OFFSET(S!$A$12,MATCH($C$2,S!$C$11:$C$47348,0),40)</f>
        <v>41813</v>
      </c>
      <c r="M42" s="21">
        <f ca="1">OFFSET(S!$A$13,MATCH($C$2,S!$C$11:$C$47348,0),40)</f>
        <v>33474</v>
      </c>
      <c r="N42" s="21">
        <f ca="1">OFFSET(S!$A$14,MATCH($C$2,S!$C$11:$C$47348,0),40)</f>
        <v>31579</v>
      </c>
      <c r="O42" s="21">
        <f ca="1">OFFSET(S!$A$15,MATCH($C$2,S!$C$11:$C$47348,0),40)</f>
        <v>30395</v>
      </c>
      <c r="P42" s="21">
        <f ca="1">OFFSET(S!$A$16,MATCH($C$2,S!$C$11:$C$47348,0),40)</f>
        <v>35950</v>
      </c>
      <c r="Q42" s="21">
        <f ca="1">OFFSET(S!$A$17,MATCH($C$2,S!$C$11:$C$47348,0),40)</f>
        <v>36278</v>
      </c>
      <c r="R42" s="21">
        <f ca="1">OFFSET(S!$A$18,MATCH($C$2,S!$C$11:$C$47348,0),40)</f>
        <v>40720</v>
      </c>
      <c r="S42" s="3"/>
      <c r="T42" s="3"/>
      <c r="U42" s="3"/>
      <c r="V42" s="3"/>
      <c r="W42" s="3"/>
      <c r="X42" s="4"/>
      <c r="Y42" s="4"/>
      <c r="Z42" s="4"/>
      <c r="AA42" s="102"/>
      <c r="AB42" s="108">
        <f ca="1">OFFSET(D!$A$93,MATCH($C$2,D!$C$54:$C424,0),0)</f>
        <v>36069</v>
      </c>
      <c r="AC42" s="106">
        <f ca="1">OFFSET(D!A93,MATCH($C$2,D!$C$54:$C$424,0),1)</f>
        <v>29180950</v>
      </c>
      <c r="AD42" s="107">
        <f ca="1">OFFSET(D!A93,MATCH($C$2,D!$C$54:$C$424,0),2)</f>
        <v>4.1300000000000003E-2</v>
      </c>
      <c r="AE42" s="106">
        <f ca="1">OFFSET(D!A93,MATCH($C$2,D!$C$54:$C$424,0),3)</f>
        <v>28370678</v>
      </c>
      <c r="AF42" s="102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</row>
    <row r="43" spans="1:43">
      <c r="A43" s="10" t="s">
        <v>76</v>
      </c>
      <c r="B43" s="34">
        <f ca="1">OFFSET(Y!$A$11,MATCH($C$2,Y!$C$11:$C$48345,0),41)</f>
        <v>5.18</v>
      </c>
      <c r="C43" s="34">
        <f ca="1">OFFSET(Y!$A$12,MATCH($C$2,Y!$C$11:$C$48345,0),41)</f>
        <v>6.24</v>
      </c>
      <c r="D43" s="34">
        <f ca="1">OFFSET(Y!$A$13,MATCH($C$2,Y!$C$11:$C$48345,0),41)</f>
        <v>3.45</v>
      </c>
      <c r="E43" s="34">
        <f ca="1">OFFSET(Y!$A$14,MATCH($C$2,Y!$C$11:$C$48345,0),41)</f>
        <v>3.86</v>
      </c>
      <c r="F43" s="34">
        <f ca="1">OFFSET(Y!$A$15,MATCH($C$2,Y!$C$11:$C$48345,0),41)</f>
        <v>4.1399999999999997</v>
      </c>
      <c r="G43" s="34">
        <f ca="1">OFFSET(Y!$A$16,MATCH($C$2,Y!$C$11:$C$48345,0),41)</f>
        <v>4.93</v>
      </c>
      <c r="H43" s="34">
        <f ca="1">OFFSET(Y!$A$17,MATCH($C$2,Y!$C$11:$C$48345,0),41)</f>
        <v>3.79</v>
      </c>
      <c r="I43" s="34">
        <f ca="1">OFFSET(Y!$A$18,MATCH($C$2,Y!$C$11:$C$48345,0),41)</f>
        <v>3.97</v>
      </c>
      <c r="J43" s="12" t="s">
        <v>76</v>
      </c>
      <c r="K43" s="35">
        <f ca="1">OFFSET(S!$A$11,MATCH($C$2,S!$C$11:$C$47348,0),41)</f>
        <v>1.9</v>
      </c>
      <c r="L43" s="35">
        <f ca="1">OFFSET(S!$A$12,MATCH($C$2,S!$C$11:$C$47348,0),41)</f>
        <v>1.61</v>
      </c>
      <c r="M43" s="35">
        <f ca="1">OFFSET(S!$A$13,MATCH($C$2,S!$C$11:$C$47348,0),41)</f>
        <v>1.29</v>
      </c>
      <c r="N43" s="35">
        <f ca="1">OFFSET(S!$A$14,MATCH($C$2,S!$C$11:$C$47348,0),41)</f>
        <v>1.22</v>
      </c>
      <c r="O43" s="35">
        <f ca="1">OFFSET(S!$A$15,MATCH($C$2,S!$C$11:$C$47348,0),41)</f>
        <v>1.17</v>
      </c>
      <c r="P43" s="35">
        <f ca="1">OFFSET(S!$A$16,MATCH($C$2,S!$C$11:$C$47348,0),41)</f>
        <v>1.39</v>
      </c>
      <c r="Q43" s="35">
        <f ca="1">OFFSET(S!$A$17,MATCH($C$2,S!$C$11:$C$47348,0),41)</f>
        <v>1.4</v>
      </c>
      <c r="R43" s="35">
        <f ca="1">OFFSET(S!$A$18,MATCH($C$2,S!$C$11:$C$47348,0),41)</f>
        <v>1.57</v>
      </c>
      <c r="S43" s="3"/>
      <c r="T43" s="3"/>
      <c r="U43" s="3"/>
      <c r="V43" s="3"/>
      <c r="W43" s="3"/>
      <c r="X43" s="4"/>
      <c r="Y43" s="4"/>
      <c r="Z43" s="4"/>
      <c r="AA43" s="102"/>
      <c r="AB43" s="108">
        <f ca="1">OFFSET(D!$A$94,MATCH($C$2,D!$C$54:$C424,0),0)</f>
        <v>36039</v>
      </c>
      <c r="AC43" s="106">
        <f ca="1">OFFSET(D!A94,MATCH($C$2,D!$C$54:$C$424,0),1)</f>
        <v>28024082</v>
      </c>
      <c r="AD43" s="107">
        <f ca="1">OFFSET(D!A94,MATCH($C$2,D!$C$54:$C$424,0),2)</f>
        <v>-2.9899999999999999E-2</v>
      </c>
      <c r="AE43" s="106" t="str">
        <f ca="1">OFFSET(D!A94,MATCH($C$2,D!$C$54:$C$424,0),3)</f>
        <v>N/A</v>
      </c>
      <c r="AF43" s="102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</row>
    <row r="44" spans="1:43">
      <c r="A44" s="7" t="s">
        <v>77</v>
      </c>
      <c r="B44" s="21">
        <f ca="1">OFFSET(Y!$A$11,MATCH($C$2,Y!$C$11:$C$48345,0),42)</f>
        <v>259141</v>
      </c>
      <c r="C44" s="21">
        <f ca="1">OFFSET(Y!$A$12,MATCH($C$2,Y!$C$11:$C$48345,0),42)</f>
        <v>259058</v>
      </c>
      <c r="D44" s="21">
        <f ca="1">OFFSET(Y!$A$13,MATCH($C$2,Y!$C$11:$C$48345,0),42)</f>
        <v>258358</v>
      </c>
      <c r="E44" s="21">
        <f ca="1">OFFSET(Y!$A$14,MATCH($C$2,Y!$C$11:$C$48345,0),42)</f>
        <v>259096</v>
      </c>
      <c r="F44" s="21">
        <f ca="1">OFFSET(Y!$A$15,MATCH($C$2,Y!$C$11:$C$48345,0),42)</f>
        <v>263466</v>
      </c>
      <c r="G44" s="21">
        <f ca="1">OFFSET(Y!$A$16,MATCH($C$2,Y!$C$11:$C$48345,0),42)</f>
        <v>257886</v>
      </c>
      <c r="H44" s="21">
        <f ca="1">OFFSET(Y!$A$17,MATCH($C$2,Y!$C$11:$C$48345,0),42)</f>
        <v>246799</v>
      </c>
      <c r="I44" s="21">
        <f ca="1">OFFSET(Y!$A$18,MATCH($C$2,Y!$C$11:$C$48345,0),42)</f>
        <v>232487</v>
      </c>
      <c r="J44" s="7" t="s">
        <v>77</v>
      </c>
      <c r="K44" s="21">
        <f ca="1">OFFSET(S!$A$11,MATCH($C$2,S!$C$11:$C$47348,0),42)</f>
        <v>259199</v>
      </c>
      <c r="L44" s="21">
        <f ca="1">OFFSET(S!$A$12,MATCH($C$2,S!$C$11:$C$47348,0),42)</f>
        <v>259192</v>
      </c>
      <c r="M44" s="21">
        <f ca="1">OFFSET(S!$A$13,MATCH($C$2,S!$C$11:$C$47348,0),42)</f>
        <v>259176</v>
      </c>
      <c r="N44" s="21">
        <f ca="1">OFFSET(S!$A$14,MATCH($C$2,S!$C$11:$C$47348,0),42)</f>
        <v>259141</v>
      </c>
      <c r="O44" s="21">
        <f ca="1">OFFSET(S!$A$15,MATCH($C$2,S!$C$11:$C$47348,0),42)</f>
        <v>259138</v>
      </c>
      <c r="P44" s="21">
        <f ca="1">OFFSET(S!$A$16,MATCH($C$2,S!$C$11:$C$47348,0),42)</f>
        <v>259134</v>
      </c>
      <c r="Q44" s="21">
        <f ca="1">OFFSET(S!$A$17,MATCH($C$2,S!$C$11:$C$47348,0),42)</f>
        <v>259125</v>
      </c>
      <c r="R44" s="21">
        <f ca="1">OFFSET(S!$A$18,MATCH($C$2,S!$C$11:$C$47348,0),42)</f>
        <v>259058</v>
      </c>
      <c r="S44" s="3"/>
      <c r="T44" s="3"/>
      <c r="U44" s="3"/>
      <c r="V44" s="3"/>
      <c r="W44" s="3"/>
      <c r="X44" s="4"/>
      <c r="Y44" s="4"/>
      <c r="Z44" s="4"/>
      <c r="AA44" s="102"/>
      <c r="AB44" s="108">
        <f ca="1">OFFSET(D!$A$95,MATCH($C$2,D!$C$54:$C424,0),0)</f>
        <v>36008</v>
      </c>
      <c r="AC44" s="106">
        <f ca="1">OFFSET(D!A95,MATCH($C$2,D!$C$54:$C$424,0),1)</f>
        <v>28887650</v>
      </c>
      <c r="AD44" s="107">
        <f ca="1">OFFSET(D!A95,MATCH($C$2,D!$C$54:$C$424,0),2)</f>
        <v>-4.5900000000000003E-2</v>
      </c>
      <c r="AE44" s="106" t="str">
        <f ca="1">OFFSET(D!A95,MATCH($C$2,D!$C$54:$C$424,0),3)</f>
        <v>N/A</v>
      </c>
      <c r="AF44" s="102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</row>
    <row r="45" spans="1:43">
      <c r="A45" s="10" t="s">
        <v>78</v>
      </c>
      <c r="B45" s="19">
        <f ca="1">OFFSET(Y!$A$11,MATCH($C$2,Y!$C$11:$C$48345,0),43)</f>
        <v>0</v>
      </c>
      <c r="C45" s="19">
        <f ca="1">OFFSET(Y!$A$12,MATCH($C$2,Y!$C$11:$C$48345,0),43)</f>
        <v>0</v>
      </c>
      <c r="D45" s="19">
        <f ca="1">OFFSET(Y!$A$13,MATCH($C$2,Y!$C$11:$C$48345,0),43)</f>
        <v>0</v>
      </c>
      <c r="E45" s="19">
        <f ca="1">OFFSET(Y!$A$14,MATCH($C$2,Y!$C$11:$C$48345,0),43)</f>
        <v>0</v>
      </c>
      <c r="F45" s="19">
        <f ca="1">OFFSET(Y!$A$15,MATCH($C$2,Y!$C$11:$C$48345,0),43)</f>
        <v>0</v>
      </c>
      <c r="G45" s="19">
        <f ca="1">OFFSET(Y!$A$16,MATCH($C$2,Y!$C$11:$C$48345,0),43)</f>
        <v>0</v>
      </c>
      <c r="H45" s="19">
        <f ca="1">OFFSET(Y!$A$17,MATCH($C$2,Y!$C$11:$C$48345,0),43)</f>
        <v>0</v>
      </c>
      <c r="I45" s="19">
        <f ca="1">OFFSET(Y!$A$18,MATCH($C$2,Y!$C$11:$C$48345,0),43)</f>
        <v>0</v>
      </c>
      <c r="J45" s="12" t="s">
        <v>78</v>
      </c>
      <c r="K45" s="20">
        <f ca="1">OFFSET(S!$A$11,MATCH($C$2,S!$C$11:$C$47348,0),43)</f>
        <v>0</v>
      </c>
      <c r="L45" s="20">
        <f ca="1">OFFSET(S!$A$12,MATCH($C$2,S!$C$11:$C$47348,0),43)</f>
        <v>0</v>
      </c>
      <c r="M45" s="20">
        <f ca="1">OFFSET(S!$A$13,MATCH($C$2,S!$C$11:$C$47348,0),43)</f>
        <v>0</v>
      </c>
      <c r="N45" s="20">
        <f ca="1">OFFSET(S!$A$14,MATCH($C$2,S!$C$11:$C$47348,0),43)</f>
        <v>0</v>
      </c>
      <c r="O45" s="20">
        <f ca="1">OFFSET(S!$A$15,MATCH($C$2,S!$C$11:$C$47348,0),43)</f>
        <v>0</v>
      </c>
      <c r="P45" s="20">
        <f ca="1">OFFSET(S!$A$16,MATCH($C$2,S!$C$11:$C$47348,0),43)</f>
        <v>0</v>
      </c>
      <c r="Q45" s="20">
        <f ca="1">OFFSET(S!$A$17,MATCH($C$2,S!$C$11:$C$47348,0),43)</f>
        <v>0</v>
      </c>
      <c r="R45" s="20">
        <f ca="1">OFFSET(S!$A$18,MATCH($C$2,S!$C$11:$C$47348,0),43)</f>
        <v>0</v>
      </c>
      <c r="S45" s="3"/>
      <c r="T45" s="3"/>
      <c r="U45" s="3"/>
      <c r="V45" s="3"/>
      <c r="W45" s="3"/>
      <c r="X45" s="4"/>
      <c r="Y45" s="4"/>
      <c r="Z45" s="4"/>
      <c r="AA45" s="102"/>
      <c r="AB45" s="108">
        <f ca="1">OFFSET(D!$A$96,MATCH($C$2,D!$C$54:$C424,0),0)</f>
        <v>35977</v>
      </c>
      <c r="AC45" s="106">
        <f ca="1">OFFSET(D!A96,MATCH($C$2,D!$C$54:$C$424,0),1)</f>
        <v>30278581</v>
      </c>
      <c r="AD45" s="107">
        <f ca="1">OFFSET(D!A96,MATCH($C$2,D!$C$54:$C$424,0),2)</f>
        <v>0.17460000000000001</v>
      </c>
      <c r="AE45" s="106" t="str">
        <f ca="1">OFFSET(D!A96,MATCH($C$2,D!$C$54:$C$424,0),3)</f>
        <v>N/A</v>
      </c>
      <c r="AF45" s="102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</row>
    <row r="46" spans="1:43">
      <c r="A46" s="7" t="s">
        <v>79</v>
      </c>
      <c r="B46" s="21">
        <f ca="1">OFFSET(Y!$A$11,MATCH($C$2,Y!$C$11:$C$48345,0),44)</f>
        <v>85263</v>
      </c>
      <c r="C46" s="21">
        <f ca="1">OFFSET(Y!$A$12,MATCH($C$2,Y!$C$11:$C$48345,0),44)</f>
        <v>109511</v>
      </c>
      <c r="D46" s="21">
        <f ca="1">OFFSET(Y!$A$13,MATCH($C$2,Y!$C$11:$C$48345,0),44)</f>
        <v>117044</v>
      </c>
      <c r="E46" s="21">
        <f ca="1">OFFSET(Y!$A$14,MATCH($C$2,Y!$C$11:$C$48345,0),44)</f>
        <v>138208</v>
      </c>
      <c r="F46" s="21">
        <f ca="1">OFFSET(Y!$A$15,MATCH($C$2,Y!$C$11:$C$48345,0),44)</f>
        <v>72422</v>
      </c>
      <c r="G46" s="21">
        <f ca="1">OFFSET(Y!$A$16,MATCH($C$2,Y!$C$11:$C$48345,0),44)</f>
        <v>100140</v>
      </c>
      <c r="H46" s="21">
        <f ca="1">OFFSET(Y!$A$17,MATCH($C$2,Y!$C$11:$C$48345,0),44)</f>
        <v>85384</v>
      </c>
      <c r="I46" s="21">
        <f ca="1">OFFSET(Y!$A$18,MATCH($C$2,Y!$C$11:$C$48345,0),44)</f>
        <v>65532</v>
      </c>
      <c r="J46" s="7" t="s">
        <v>79</v>
      </c>
      <c r="K46" s="21">
        <f ca="1">OFFSET(S!$A$11,MATCH($C$2,S!$C$11:$C$47348,0),44)</f>
        <v>76018</v>
      </c>
      <c r="L46" s="21">
        <f ca="1">OFFSET(S!$A$12,MATCH($C$2,S!$C$11:$C$47348,0),44)</f>
        <v>116989</v>
      </c>
      <c r="M46" s="21">
        <f ca="1">OFFSET(S!$A$13,MATCH($C$2,S!$C$11:$C$47348,0),44)</f>
        <v>112144</v>
      </c>
      <c r="N46" s="21">
        <f ca="1">OFFSET(S!$A$14,MATCH($C$2,S!$C$11:$C$47348,0),44)</f>
        <v>85263</v>
      </c>
      <c r="O46" s="21">
        <f ca="1">OFFSET(S!$A$15,MATCH($C$2,S!$C$11:$C$47348,0),44)</f>
        <v>67151</v>
      </c>
      <c r="P46" s="21">
        <f ca="1">OFFSET(S!$A$16,MATCH($C$2,S!$C$11:$C$47348,0),44)</f>
        <v>95297</v>
      </c>
      <c r="Q46" s="21">
        <f ca="1">OFFSET(S!$A$17,MATCH($C$2,S!$C$11:$C$47348,0),44)</f>
        <v>93337</v>
      </c>
      <c r="R46" s="21">
        <f ca="1">OFFSET(S!$A$18,MATCH($C$2,S!$C$11:$C$47348,0),44)</f>
        <v>109511</v>
      </c>
      <c r="S46" s="3"/>
      <c r="T46" s="3"/>
      <c r="U46" s="3"/>
      <c r="V46" s="3"/>
      <c r="W46" s="3"/>
      <c r="X46" s="4"/>
      <c r="Y46" s="4"/>
      <c r="Z46" s="4"/>
      <c r="AA46" s="102"/>
      <c r="AB46" s="108">
        <f ca="1">OFFSET(D!$A$97,MATCH($C$2,D!$C$54:$C424,0),0)</f>
        <v>35947</v>
      </c>
      <c r="AC46" s="106">
        <f ca="1">OFFSET(D!A97,MATCH($C$2,D!$C$54:$C$424,0),1)</f>
        <v>25777846</v>
      </c>
      <c r="AD46" s="107">
        <f ca="1">OFFSET(D!A97,MATCH($C$2,D!$C$54:$C$424,0),2)</f>
        <v>5.33E-2</v>
      </c>
      <c r="AE46" s="106" t="str">
        <f ca="1">OFFSET(D!A97,MATCH($C$2,D!$C$54:$C$424,0),3)</f>
        <v>N/A</v>
      </c>
      <c r="AF46" s="102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</row>
    <row r="47" spans="1:43">
      <c r="A47" s="10" t="s">
        <v>80</v>
      </c>
      <c r="B47" s="19">
        <f ca="1">OFFSET(Y!$A$11,MATCH($C$2,Y!$C$11:$C$48345,0),45)</f>
        <v>3333</v>
      </c>
      <c r="C47" s="19">
        <f ca="1">OFFSET(Y!$A$12,MATCH($C$2,Y!$C$11:$C$48345,0),45)</f>
        <v>8715</v>
      </c>
      <c r="D47" s="19">
        <f ca="1">OFFSET(Y!$A$13,MATCH($C$2,Y!$C$11:$C$48345,0),45)</f>
        <v>10127</v>
      </c>
      <c r="E47" s="19">
        <f ca="1">OFFSET(Y!$A$14,MATCH($C$2,Y!$C$11:$C$48345,0),45)</f>
        <v>5924</v>
      </c>
      <c r="F47" s="19">
        <f ca="1">OFFSET(Y!$A$15,MATCH($C$2,Y!$C$11:$C$48345,0),45)</f>
        <v>33836</v>
      </c>
      <c r="G47" s="19">
        <f ca="1">OFFSET(Y!$A$16,MATCH($C$2,Y!$C$11:$C$48345,0),45)</f>
        <v>34522</v>
      </c>
      <c r="H47" s="19">
        <f ca="1">OFFSET(Y!$A$17,MATCH($C$2,Y!$C$11:$C$48345,0),45)</f>
        <v>47055</v>
      </c>
      <c r="I47" s="19">
        <f ca="1">OFFSET(Y!$A$18,MATCH($C$2,Y!$C$11:$C$48345,0),45)</f>
        <v>52979</v>
      </c>
      <c r="J47" s="36" t="s">
        <v>80</v>
      </c>
      <c r="K47" s="20">
        <f ca="1">OFFSET(S!$A$11,MATCH($C$2,S!$C$11:$C$47348,0),45)</f>
        <v>2373</v>
      </c>
      <c r="L47" s="20">
        <f ca="1">OFFSET(S!$A$12,MATCH($C$2,S!$C$11:$C$47348,0),45)</f>
        <v>2476</v>
      </c>
      <c r="M47" s="20">
        <f ca="1">OFFSET(S!$A$13,MATCH($C$2,S!$C$11:$C$47348,0),45)</f>
        <v>3319</v>
      </c>
      <c r="N47" s="20">
        <f ca="1">OFFSET(S!$A$14,MATCH($C$2,S!$C$11:$C$47348,0),45)</f>
        <v>3333</v>
      </c>
      <c r="O47" s="20">
        <f ca="1">OFFSET(S!$A$15,MATCH($C$2,S!$C$11:$C$47348,0),45)</f>
        <v>3569</v>
      </c>
      <c r="P47" s="20">
        <f ca="1">OFFSET(S!$A$16,MATCH($C$2,S!$C$11:$C$47348,0),45)</f>
        <v>6304</v>
      </c>
      <c r="Q47" s="20">
        <f ca="1">OFFSET(S!$A$17,MATCH($C$2,S!$C$11:$C$47348,0),45)</f>
        <v>8874</v>
      </c>
      <c r="R47" s="20">
        <f ca="1">OFFSET(S!$A$18,MATCH($C$2,S!$C$11:$C$47348,0),45)</f>
        <v>8715</v>
      </c>
      <c r="S47" s="3"/>
      <c r="T47" s="3"/>
      <c r="U47" s="3"/>
      <c r="V47" s="3"/>
      <c r="W47" s="3"/>
      <c r="X47" s="4"/>
      <c r="Y47" s="4"/>
      <c r="Z47" s="4"/>
      <c r="AA47" s="102"/>
      <c r="AB47" s="108">
        <f ca="1">OFFSET(D!$A$98,MATCH($C$2,D!$C$54:$C424,0),0)</f>
        <v>35916</v>
      </c>
      <c r="AC47" s="106">
        <f ca="1">OFFSET(D!A98,MATCH($C$2,D!$C$54:$C$424,0),1)</f>
        <v>24473921</v>
      </c>
      <c r="AD47" s="107">
        <f ca="1">OFFSET(D!A98,MATCH($C$2,D!$C$54:$C$424,0),2)</f>
        <v>0.1255</v>
      </c>
      <c r="AE47" s="106" t="str">
        <f ca="1">OFFSET(D!A98,MATCH($C$2,D!$C$54:$C$424,0),3)</f>
        <v>N/A</v>
      </c>
      <c r="AF47" s="102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</row>
    <row r="48" spans="1:43">
      <c r="A48" s="7" t="s">
        <v>81</v>
      </c>
      <c r="B48" s="21">
        <f ca="1">OFFSET(Y!$A$11,MATCH($C$2,Y!$C$11:$C$48345,0),46)</f>
        <v>39299</v>
      </c>
      <c r="C48" s="21">
        <f ca="1">OFFSET(Y!$A$12,MATCH($C$2,Y!$C$11:$C$48345,0),46)</f>
        <v>40155</v>
      </c>
      <c r="D48" s="21">
        <f ca="1">OFFSET(Y!$A$13,MATCH($C$2,Y!$C$11:$C$48345,0),46)</f>
        <v>33412</v>
      </c>
      <c r="E48" s="21">
        <f ca="1">OFFSET(Y!$A$14,MATCH($C$2,Y!$C$11:$C$48345,0),46)</f>
        <v>16864</v>
      </c>
      <c r="F48" s="21">
        <f ca="1">OFFSET(Y!$A$15,MATCH($C$2,Y!$C$11:$C$48345,0),46)</f>
        <v>40067</v>
      </c>
      <c r="G48" s="21">
        <f ca="1">OFFSET(Y!$A$16,MATCH($C$2,Y!$C$11:$C$48345,0),46)</f>
        <v>29706</v>
      </c>
      <c r="H48" s="21">
        <f ca="1">OFFSET(Y!$A$17,MATCH($C$2,Y!$C$11:$C$48345,0),46)</f>
        <v>36396</v>
      </c>
      <c r="I48" s="21">
        <f ca="1">OFFSET(Y!$A$18,MATCH($C$2,Y!$C$11:$C$48345,0),46)</f>
        <v>27205</v>
      </c>
      <c r="J48" s="7" t="s">
        <v>81</v>
      </c>
      <c r="K48" s="21">
        <f ca="1">OFFSET(S!$A$11,MATCH($C$2,S!$C$11:$C$47348,0),46)</f>
        <v>57536</v>
      </c>
      <c r="L48" s="21">
        <f ca="1">OFFSET(S!$A$12,MATCH($C$2,S!$C$11:$C$47348,0),46)</f>
        <v>53308</v>
      </c>
      <c r="M48" s="21">
        <f ca="1">OFFSET(S!$A$13,MATCH($C$2,S!$C$11:$C$47348,0),46)</f>
        <v>46275</v>
      </c>
      <c r="N48" s="21">
        <f ca="1">OFFSET(S!$A$14,MATCH($C$2,S!$C$11:$C$47348,0),46)</f>
        <v>39299</v>
      </c>
      <c r="O48" s="21">
        <f ca="1">OFFSET(S!$A$15,MATCH($C$2,S!$C$11:$C$47348,0),46)</f>
        <v>44173</v>
      </c>
      <c r="P48" s="21">
        <f ca="1">OFFSET(S!$A$16,MATCH($C$2,S!$C$11:$C$47348,0),46)</f>
        <v>45070</v>
      </c>
      <c r="Q48" s="21">
        <f ca="1">OFFSET(S!$A$17,MATCH($C$2,S!$C$11:$C$47348,0),46)</f>
        <v>44679</v>
      </c>
      <c r="R48" s="21">
        <f ca="1">OFFSET(S!$A$18,MATCH($C$2,S!$C$11:$C$47348,0),46)</f>
        <v>40155</v>
      </c>
      <c r="S48" s="3"/>
      <c r="T48" s="3"/>
      <c r="U48" s="3"/>
      <c r="V48" s="3"/>
      <c r="W48" s="3"/>
      <c r="X48" s="4"/>
      <c r="Y48" s="4"/>
      <c r="Z48" s="4"/>
      <c r="AA48" s="102"/>
      <c r="AB48" s="108">
        <f ca="1">OFFSET(D!$A$99,MATCH($C$2,D!$C$54:$C424,0),0)</f>
        <v>35886</v>
      </c>
      <c r="AC48" s="106">
        <f ca="1">OFFSET(D!A99,MATCH($C$2,D!$C$54:$C$424,0),1)</f>
        <v>21744749</v>
      </c>
      <c r="AD48" s="107">
        <f ca="1">OFFSET(D!A99,MATCH($C$2,D!$C$54:$C$424,0),2)</f>
        <v>0.59660000000000002</v>
      </c>
      <c r="AE48" s="106" t="str">
        <f ca="1">OFFSET(D!A99,MATCH($C$2,D!$C$54:$C$424,0),3)</f>
        <v>N/A</v>
      </c>
      <c r="AF48" s="102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</row>
    <row r="49" spans="1:43">
      <c r="A49" s="10" t="s">
        <v>82</v>
      </c>
      <c r="B49" s="19">
        <f ca="1">OFFSET(Y!$A$11,MATCH($C$2,Y!$C$11:$C$48345,0),47)</f>
        <v>188</v>
      </c>
      <c r="C49" s="19">
        <f ca="1">OFFSET(Y!$A$12,MATCH($C$2,Y!$C$11:$C$48345,0),47)</f>
        <v>1302</v>
      </c>
      <c r="D49" s="19">
        <f ca="1">OFFSET(Y!$A$13,MATCH($C$2,Y!$C$11:$C$48345,0),47)</f>
        <v>246</v>
      </c>
      <c r="E49" s="19">
        <f ca="1">OFFSET(Y!$A$14,MATCH($C$2,Y!$C$11:$C$48345,0),47)</f>
        <v>490</v>
      </c>
      <c r="F49" s="19">
        <f ca="1">OFFSET(Y!$A$15,MATCH($C$2,Y!$C$11:$C$48345,0),47)</f>
        <v>727</v>
      </c>
      <c r="G49" s="19">
        <f ca="1">OFFSET(Y!$A$16,MATCH($C$2,Y!$C$11:$C$48345,0),47)</f>
        <v>684</v>
      </c>
      <c r="H49" s="19">
        <f ca="1">OFFSET(Y!$A$17,MATCH($C$2,Y!$C$11:$C$48345,0),47)</f>
        <v>3998</v>
      </c>
      <c r="I49" s="19">
        <f ca="1">OFFSET(Y!$A$18,MATCH($C$2,Y!$C$11:$C$48345,0),47)</f>
        <v>3362</v>
      </c>
      <c r="J49" s="36" t="s">
        <v>82</v>
      </c>
      <c r="K49" s="20">
        <f ca="1">OFFSET(S!$A$11,MATCH($C$2,S!$C$11:$C$47348,0),47)</f>
        <v>241</v>
      </c>
      <c r="L49" s="20">
        <f ca="1">OFFSET(S!$A$12,MATCH($C$2,S!$C$11:$C$47348,0),47)</f>
        <v>652</v>
      </c>
      <c r="M49" s="20">
        <f ca="1">OFFSET(S!$A$13,MATCH($C$2,S!$C$11:$C$47348,0),47)</f>
        <v>1372</v>
      </c>
      <c r="N49" s="20">
        <f ca="1">OFFSET(S!$A$14,MATCH($C$2,S!$C$11:$C$47348,0),47)</f>
        <v>188</v>
      </c>
      <c r="O49" s="20">
        <f ca="1">OFFSET(S!$A$15,MATCH($C$2,S!$C$11:$C$47348,0),47)</f>
        <v>1491</v>
      </c>
      <c r="P49" s="20">
        <f ca="1">OFFSET(S!$A$16,MATCH($C$2,S!$C$11:$C$47348,0),47)</f>
        <v>3232</v>
      </c>
      <c r="Q49" s="20">
        <f ca="1">OFFSET(S!$A$17,MATCH($C$2,S!$C$11:$C$47348,0),47)</f>
        <v>1853</v>
      </c>
      <c r="R49" s="20">
        <f ca="1">OFFSET(S!$A$18,MATCH($C$2,S!$C$11:$C$47348,0),47)</f>
        <v>1302</v>
      </c>
      <c r="S49" s="3"/>
      <c r="T49" s="3"/>
      <c r="U49" s="3"/>
      <c r="V49" s="3"/>
      <c r="W49" s="3"/>
      <c r="X49" s="4"/>
      <c r="Y49" s="4"/>
      <c r="Z49" s="4"/>
      <c r="AA49" s="102"/>
      <c r="AB49" s="108">
        <f ca="1">OFFSET(D!$A$100,MATCH($C$2,D!$C$54:$C424,0),0)</f>
        <v>35855</v>
      </c>
      <c r="AC49" s="106">
        <f ca="1">OFFSET(D!A100,MATCH($C$2,D!$C$54:$C$424,0),1)</f>
        <v>13619497</v>
      </c>
      <c r="AD49" s="107">
        <f ca="1">OFFSET(D!A100,MATCH($C$2,D!$C$54:$C$424,0),2)</f>
        <v>0.18390000000000001</v>
      </c>
      <c r="AE49" s="106" t="str">
        <f ca="1">OFFSET(D!A100,MATCH($C$2,D!$C$54:$C$424,0),3)</f>
        <v>N/A</v>
      </c>
      <c r="AF49" s="102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</row>
    <row r="50" spans="1:43">
      <c r="A50" s="7" t="s">
        <v>83</v>
      </c>
      <c r="B50" s="21">
        <f ca="1">OFFSET(Y!$A$11,MATCH($C$2,Y!$C$11:$C$48345,0),48)</f>
        <v>0</v>
      </c>
      <c r="C50" s="21">
        <f ca="1">OFFSET(Y!$A$12,MATCH($C$2,Y!$C$11:$C$48345,0),48)</f>
        <v>0</v>
      </c>
      <c r="D50" s="21">
        <f ca="1">OFFSET(Y!$A$13,MATCH($C$2,Y!$C$11:$C$48345,0),48)</f>
        <v>0</v>
      </c>
      <c r="E50" s="21">
        <f ca="1">OFFSET(Y!$A$14,MATCH($C$2,Y!$C$11:$C$48345,0),48)</f>
        <v>0</v>
      </c>
      <c r="F50" s="21">
        <f ca="1">OFFSET(Y!$A$15,MATCH($C$2,Y!$C$11:$C$48345,0),48)</f>
        <v>0</v>
      </c>
      <c r="G50" s="21">
        <f ca="1">OFFSET(Y!$A$16,MATCH($C$2,Y!$C$11:$C$48345,0),48)</f>
        <v>0</v>
      </c>
      <c r="H50" s="21">
        <f ca="1">OFFSET(Y!$A$17,MATCH($C$2,Y!$C$11:$C$48345,0),48)</f>
        <v>0</v>
      </c>
      <c r="I50" s="21">
        <f ca="1">OFFSET(Y!$A$18,MATCH($C$2,Y!$C$11:$C$48345,0),48)</f>
        <v>0</v>
      </c>
      <c r="J50" s="7" t="s">
        <v>83</v>
      </c>
      <c r="K50" s="21">
        <f ca="1">OFFSET(S!$A$11,MATCH($C$2,S!$C$11:$C$47348,0),48)</f>
        <v>0</v>
      </c>
      <c r="L50" s="21">
        <f ca="1">OFFSET(S!$A$12,MATCH($C$2,S!$C$11:$C$47348,0),48)</f>
        <v>0</v>
      </c>
      <c r="M50" s="21">
        <f ca="1">OFFSET(S!$A$13,MATCH($C$2,S!$C$11:$C$47348,0),48)</f>
        <v>0</v>
      </c>
      <c r="N50" s="21">
        <f ca="1">OFFSET(S!$A$14,MATCH($C$2,S!$C$11:$C$47348,0),48)</f>
        <v>0</v>
      </c>
      <c r="O50" s="21">
        <f ca="1">OFFSET(S!$A$15,MATCH($C$2,S!$C$11:$C$47348,0),48)</f>
        <v>0</v>
      </c>
      <c r="P50" s="21">
        <f ca="1">OFFSET(S!$A$16,MATCH($C$2,S!$C$11:$C$47348,0),48)</f>
        <v>0</v>
      </c>
      <c r="Q50" s="21">
        <f ca="1">OFFSET(S!$A$17,MATCH($C$2,S!$C$11:$C$47348,0),48)</f>
        <v>0</v>
      </c>
      <c r="R50" s="21">
        <f ca="1">OFFSET(S!$A$18,MATCH($C$2,S!$C$11:$C$47348,0),48)</f>
        <v>0</v>
      </c>
      <c r="S50" s="3"/>
      <c r="T50" s="3"/>
      <c r="U50" s="3"/>
      <c r="V50" s="3"/>
      <c r="W50" s="3"/>
      <c r="X50" s="4"/>
      <c r="Y50" s="4"/>
      <c r="Z50" s="4"/>
      <c r="AA50" s="102"/>
      <c r="AB50" s="108">
        <f ca="1">OFFSET(D!$A$101,MATCH($C$2,D!$C$54:$C424,0),0)</f>
        <v>35827</v>
      </c>
      <c r="AC50" s="106">
        <f ca="1">OFFSET(D!A101,MATCH($C$2,D!$C$54:$C$424,0),1)</f>
        <v>11503819</v>
      </c>
      <c r="AD50" s="107">
        <f ca="1">OFFSET(D!A101,MATCH($C$2,D!$C$54:$C$424,0),2)</f>
        <v>-7.4999999999999997E-2</v>
      </c>
      <c r="AE50" s="106" t="str">
        <f ca="1">OFFSET(D!A101,MATCH($C$2,D!$C$54:$C$424,0),3)</f>
        <v>N/A</v>
      </c>
      <c r="AF50" s="102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</row>
    <row r="51" spans="1:43">
      <c r="A51" s="10" t="s">
        <v>84</v>
      </c>
      <c r="B51" s="19">
        <f ca="1">OFFSET(Y!$A$11,MATCH($C$2,Y!$C$11:$C$48345,0),49)</f>
        <v>22853</v>
      </c>
      <c r="C51" s="19">
        <f ca="1">OFFSET(Y!$A$12,MATCH($C$2,Y!$C$11:$C$48345,0),49)</f>
        <v>25646</v>
      </c>
      <c r="D51" s="19">
        <f ca="1">OFFSET(Y!$A$13,MATCH($C$2,Y!$C$11:$C$48345,0),49)</f>
        <v>18830</v>
      </c>
      <c r="E51" s="19">
        <f ca="1">OFFSET(Y!$A$14,MATCH($C$2,Y!$C$11:$C$48345,0),49)</f>
        <v>12808</v>
      </c>
      <c r="F51" s="19">
        <f ca="1">OFFSET(Y!$A$15,MATCH($C$2,Y!$C$11:$C$48345,0),49)</f>
        <v>20987</v>
      </c>
      <c r="G51" s="19">
        <f ca="1">OFFSET(Y!$A$16,MATCH($C$2,Y!$C$11:$C$48345,0),49)</f>
        <v>19152</v>
      </c>
      <c r="H51" s="19">
        <f ca="1">OFFSET(Y!$A$17,MATCH($C$2,Y!$C$11:$C$48345,0),49)</f>
        <v>16258</v>
      </c>
      <c r="I51" s="19">
        <f ca="1">OFFSET(Y!$A$18,MATCH($C$2,Y!$C$11:$C$48345,0),49)</f>
        <v>14172</v>
      </c>
      <c r="J51" s="36" t="s">
        <v>84</v>
      </c>
      <c r="K51" s="20">
        <f ca="1">OFFSET(S!$A$11,MATCH($C$2,S!$C$11:$C$47348,0),49)</f>
        <v>30805</v>
      </c>
      <c r="L51" s="20">
        <f ca="1">OFFSET(S!$A$12,MATCH($C$2,S!$C$11:$C$47348,0),49)</f>
        <v>28429</v>
      </c>
      <c r="M51" s="20">
        <f ca="1">OFFSET(S!$A$13,MATCH($C$2,S!$C$11:$C$47348,0),49)</f>
        <v>25577</v>
      </c>
      <c r="N51" s="20">
        <f ca="1">OFFSET(S!$A$14,MATCH($C$2,S!$C$11:$C$47348,0),49)</f>
        <v>22853</v>
      </c>
      <c r="O51" s="20">
        <f ca="1">OFFSET(S!$A$15,MATCH($C$2,S!$C$11:$C$47348,0),49)</f>
        <v>23263</v>
      </c>
      <c r="P51" s="20">
        <f ca="1">OFFSET(S!$A$16,MATCH($C$2,S!$C$11:$C$47348,0),49)</f>
        <v>28405</v>
      </c>
      <c r="Q51" s="20">
        <f ca="1">OFFSET(S!$A$17,MATCH($C$2,S!$C$11:$C$47348,0),49)</f>
        <v>28894</v>
      </c>
      <c r="R51" s="20">
        <f ca="1">OFFSET(S!$A$18,MATCH($C$2,S!$C$11:$C$47348,0),49)</f>
        <v>25646</v>
      </c>
      <c r="S51" s="3"/>
      <c r="T51" s="3"/>
      <c r="U51" s="3"/>
      <c r="V51" s="3"/>
      <c r="W51" s="3"/>
      <c r="X51" s="4"/>
      <c r="Y51" s="4"/>
      <c r="Z51" s="4"/>
      <c r="AA51" s="102"/>
      <c r="AB51" s="108">
        <f ca="1">OFFSET(D!$A$102,MATCH($C$2,D!$C$54:$C424,0),0)</f>
        <v>35796</v>
      </c>
      <c r="AC51" s="106">
        <f ca="1">OFFSET(D!A102,MATCH($C$2,D!$C$54:$C$424,0),1)</f>
        <v>12436378</v>
      </c>
      <c r="AD51" s="107">
        <f ca="1">OFFSET(D!A102,MATCH($C$2,D!$C$54:$C$424,0),2)</f>
        <v>-5.5E-2</v>
      </c>
      <c r="AE51" s="106" t="str">
        <f ca="1">OFFSET(D!A102,MATCH($C$2,D!$C$54:$C$424,0),3)</f>
        <v>N/A</v>
      </c>
      <c r="AF51" s="102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</row>
    <row r="52" spans="1:43">
      <c r="A52" s="7" t="s">
        <v>85</v>
      </c>
      <c r="B52" s="21" t="str">
        <f ca="1">OFFSET(Y!$A$11,MATCH($C$2,Y!$C$11:$C$48345,0),50)</f>
        <v>N/A</v>
      </c>
      <c r="C52" s="21" t="str">
        <f ca="1">OFFSET(Y!$A$12,MATCH($C$2,Y!$C$11:$C$48345,0),50)</f>
        <v>N/A</v>
      </c>
      <c r="D52" s="21" t="str">
        <f ca="1">OFFSET(Y!$A$13,MATCH($C$2,Y!$C$11:$C$48345,0),50)</f>
        <v>N/A</v>
      </c>
      <c r="E52" s="21" t="str">
        <f ca="1">OFFSET(Y!$A$14,MATCH($C$2,Y!$C$11:$C$48345,0),50)</f>
        <v>N/A</v>
      </c>
      <c r="F52" s="21" t="str">
        <f ca="1">OFFSET(Y!$A$15,MATCH($C$2,Y!$C$11:$C$48345,0),50)</f>
        <v>N/A</v>
      </c>
      <c r="G52" s="21" t="str">
        <f ca="1">OFFSET(Y!$A$16,MATCH($C$2,Y!$C$11:$C$48345,0),50)</f>
        <v>N/A</v>
      </c>
      <c r="H52" s="21" t="str">
        <f ca="1">OFFSET(Y!$A$17,MATCH($C$2,Y!$C$11:$C$48345,0),50)</f>
        <v>N/A</v>
      </c>
      <c r="I52" s="21" t="str">
        <f ca="1">OFFSET(Y!$A$18,MATCH($C$2,Y!$C$11:$C$48345,0),50)</f>
        <v>N/A</v>
      </c>
      <c r="J52" s="7" t="s">
        <v>85</v>
      </c>
      <c r="K52" s="21" t="str">
        <f ca="1">OFFSET(S!$A$11,MATCH($C$2,S!$C$11:$C$47348,0),50)</f>
        <v>N/A</v>
      </c>
      <c r="L52" s="21" t="str">
        <f ca="1">OFFSET(S!$A$12,MATCH($C$2,S!$C$11:$C$47348,0),50)</f>
        <v>N/A</v>
      </c>
      <c r="M52" s="21" t="str">
        <f ca="1">OFFSET(S!$A$13,MATCH($C$2,S!$C$11:$C$47348,0),50)</f>
        <v>N/A</v>
      </c>
      <c r="N52" s="21" t="str">
        <f ca="1">OFFSET(S!$A$14,MATCH($C$2,S!$C$11:$C$47348,0),50)</f>
        <v>N/A</v>
      </c>
      <c r="O52" s="21" t="str">
        <f ca="1">OFFSET(S!$A$15,MATCH($C$2,S!$C$11:$C$47348,0),50)</f>
        <v>N/A</v>
      </c>
      <c r="P52" s="21" t="str">
        <f ca="1">OFFSET(S!$A$16,MATCH($C$2,S!$C$11:$C$47348,0),50)</f>
        <v>N/A</v>
      </c>
      <c r="Q52" s="21" t="str">
        <f ca="1">OFFSET(S!$A$17,MATCH($C$2,S!$C$11:$C$47348,0),50)</f>
        <v>N/A</v>
      </c>
      <c r="R52" s="21" t="str">
        <f ca="1">OFFSET(S!$A$18,MATCH($C$2,S!$C$11:$C$47348,0),50)</f>
        <v>N/A</v>
      </c>
      <c r="S52" s="3"/>
      <c r="T52" s="3"/>
      <c r="U52" s="3"/>
      <c r="V52" s="3"/>
      <c r="W52" s="3"/>
      <c r="X52" s="4"/>
      <c r="Y52" s="4"/>
      <c r="Z52" s="4"/>
      <c r="AA52" s="102"/>
      <c r="AB52" s="108">
        <f ca="1">OFFSET(D!$A$103,MATCH($C$2,D!$C$54:$C424,0),0)</f>
        <v>35765</v>
      </c>
      <c r="AC52" s="106">
        <f ca="1">OFFSET(D!A103,MATCH($C$2,D!$C$54:$C$424,0),1)</f>
        <v>13160762</v>
      </c>
      <c r="AD52" s="107">
        <f ca="1">OFFSET(D!A103,MATCH($C$2,D!$C$54:$C$424,0),2)</f>
        <v>-0.31790000000000002</v>
      </c>
      <c r="AE52" s="106" t="str">
        <f ca="1">OFFSET(D!A103,MATCH($C$2,D!$C$54:$C$424,0),3)</f>
        <v>N/A</v>
      </c>
      <c r="AF52" s="102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</row>
    <row r="53" spans="1:43">
      <c r="A53" s="10" t="s">
        <v>87</v>
      </c>
      <c r="B53" s="19">
        <f ca="1">OFFSET(Y!$A$11,MATCH($C$2,Y!$C$11:$C$48345,0),51)</f>
        <v>0</v>
      </c>
      <c r="C53" s="19">
        <f ca="1">OFFSET(Y!$A$12,MATCH($C$2,Y!$C$11:$C$48345,0),51)</f>
        <v>0</v>
      </c>
      <c r="D53" s="19">
        <f ca="1">OFFSET(Y!$A$13,MATCH($C$2,Y!$C$11:$C$48345,0),51)</f>
        <v>0</v>
      </c>
      <c r="E53" s="19">
        <f ca="1">OFFSET(Y!$A$14,MATCH($C$2,Y!$C$11:$C$48345,0),51)</f>
        <v>0</v>
      </c>
      <c r="F53" s="19">
        <f ca="1">OFFSET(Y!$A$15,MATCH($C$2,Y!$C$11:$C$48345,0),51)</f>
        <v>187</v>
      </c>
      <c r="G53" s="19">
        <f ca="1">OFFSET(Y!$A$16,MATCH($C$2,Y!$C$11:$C$48345,0),51)</f>
        <v>635</v>
      </c>
      <c r="H53" s="19">
        <f ca="1">OFFSET(Y!$A$17,MATCH($C$2,Y!$C$11:$C$48345,0),51)</f>
        <v>865</v>
      </c>
      <c r="I53" s="19">
        <f ca="1">OFFSET(Y!$A$18,MATCH($C$2,Y!$C$11:$C$48345,0),51)</f>
        <v>740</v>
      </c>
      <c r="J53" s="12" t="s">
        <v>87</v>
      </c>
      <c r="K53" s="20">
        <f ca="1">OFFSET(S!$A$11,MATCH($C$2,S!$C$11:$C$47348,0),51)</f>
        <v>0</v>
      </c>
      <c r="L53" s="20">
        <f ca="1">OFFSET(S!$A$12,MATCH($C$2,S!$C$11:$C$47348,0),51)</f>
        <v>0</v>
      </c>
      <c r="M53" s="20">
        <f ca="1">OFFSET(S!$A$13,MATCH($C$2,S!$C$11:$C$47348,0),51)</f>
        <v>0</v>
      </c>
      <c r="N53" s="20">
        <f ca="1">OFFSET(S!$A$14,MATCH($C$2,S!$C$11:$C$47348,0),51)</f>
        <v>0</v>
      </c>
      <c r="O53" s="20">
        <f ca="1">OFFSET(S!$A$15,MATCH($C$2,S!$C$11:$C$47348,0),51)</f>
        <v>0</v>
      </c>
      <c r="P53" s="20">
        <f ca="1">OFFSET(S!$A$16,MATCH($C$2,S!$C$11:$C$47348,0),51)</f>
        <v>0</v>
      </c>
      <c r="Q53" s="20">
        <f ca="1">OFFSET(S!$A$17,MATCH($C$2,S!$C$11:$C$47348,0),51)</f>
        <v>0</v>
      </c>
      <c r="R53" s="20">
        <f ca="1">OFFSET(S!$A$18,MATCH($C$2,S!$C$11:$C$47348,0),51)</f>
        <v>0</v>
      </c>
      <c r="S53" s="3"/>
      <c r="T53" s="3"/>
      <c r="U53" s="3"/>
      <c r="V53" s="3"/>
      <c r="W53" s="3"/>
      <c r="X53" s="4"/>
      <c r="Y53" s="4"/>
      <c r="Z53" s="4"/>
      <c r="AA53" s="102"/>
      <c r="AB53" s="108">
        <f ca="1">OFFSET(D!$A$104,MATCH($C$2,D!$C$54:$C424,0),0)</f>
        <v>35735</v>
      </c>
      <c r="AC53" s="106">
        <f ca="1">OFFSET(D!A104,MATCH($C$2,D!$C$54:$C$424,0),1)</f>
        <v>19294770</v>
      </c>
      <c r="AD53" s="107">
        <f ca="1">OFFSET(D!A104,MATCH($C$2,D!$C$54:$C$424,0),2)</f>
        <v>-0.31990000000000002</v>
      </c>
      <c r="AE53" s="106" t="str">
        <f ca="1">OFFSET(D!A104,MATCH($C$2,D!$C$54:$C$424,0),3)</f>
        <v>N/A</v>
      </c>
      <c r="AF53" s="102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</row>
    <row r="54" spans="1:43">
      <c r="A54" s="7" t="s">
        <v>88</v>
      </c>
      <c r="B54" s="21">
        <f ca="1">OFFSET(Y!$A$11,MATCH($C$2,Y!$C$11:$C$48345,0),52)</f>
        <v>7627</v>
      </c>
      <c r="C54" s="21">
        <f ca="1">OFFSET(Y!$A$12,MATCH($C$2,Y!$C$11:$C$48345,0),52)</f>
        <v>6904</v>
      </c>
      <c r="D54" s="21">
        <f ca="1">OFFSET(Y!$A$13,MATCH($C$2,Y!$C$11:$C$48345,0),52)</f>
        <v>6174</v>
      </c>
      <c r="E54" s="21">
        <f ca="1">OFFSET(Y!$A$14,MATCH($C$2,Y!$C$11:$C$48345,0),52)</f>
        <v>5555</v>
      </c>
      <c r="F54" s="21">
        <f ca="1">OFFSET(Y!$A$15,MATCH($C$2,Y!$C$11:$C$48345,0),52)</f>
        <v>6073</v>
      </c>
      <c r="G54" s="21">
        <f ca="1">OFFSET(Y!$A$16,MATCH($C$2,Y!$C$11:$C$48345,0),52)</f>
        <v>8837</v>
      </c>
      <c r="H54" s="21">
        <f ca="1">OFFSET(Y!$A$17,MATCH($C$2,Y!$C$11:$C$48345,0),52)</f>
        <v>7606</v>
      </c>
      <c r="I54" s="21">
        <f ca="1">OFFSET(Y!$A$18,MATCH($C$2,Y!$C$11:$C$48345,0),52)</f>
        <v>9677</v>
      </c>
      <c r="J54" s="7" t="s">
        <v>88</v>
      </c>
      <c r="K54" s="21">
        <f ca="1">OFFSET(S!$A$11,MATCH($C$2,S!$C$11:$C$47348,0),52)</f>
        <v>4482</v>
      </c>
      <c r="L54" s="21">
        <f ca="1">OFFSET(S!$A$12,MATCH($C$2,S!$C$11:$C$47348,0),52)</f>
        <v>4508</v>
      </c>
      <c r="M54" s="21">
        <f ca="1">OFFSET(S!$A$13,MATCH($C$2,S!$C$11:$C$47348,0),52)</f>
        <v>9093</v>
      </c>
      <c r="N54" s="21">
        <f ca="1">OFFSET(S!$A$14,MATCH($C$2,S!$C$11:$C$47348,0),52)</f>
        <v>7627</v>
      </c>
      <c r="O54" s="21">
        <f ca="1">OFFSET(S!$A$15,MATCH($C$2,S!$C$11:$C$47348,0),52)</f>
        <v>2929</v>
      </c>
      <c r="P54" s="21">
        <f ca="1">OFFSET(S!$A$16,MATCH($C$2,S!$C$11:$C$47348,0),52)</f>
        <v>2545</v>
      </c>
      <c r="Q54" s="21">
        <f ca="1">OFFSET(S!$A$17,MATCH($C$2,S!$C$11:$C$47348,0),52)</f>
        <v>6343</v>
      </c>
      <c r="R54" s="21">
        <f ca="1">OFFSET(S!$A$18,MATCH($C$2,S!$C$11:$C$47348,0),52)</f>
        <v>6904</v>
      </c>
      <c r="S54" s="3"/>
      <c r="T54" s="3"/>
      <c r="U54" s="3"/>
      <c r="V54" s="3"/>
      <c r="W54" s="3"/>
      <c r="X54" s="4"/>
      <c r="Y54" s="4"/>
      <c r="Z54" s="4"/>
      <c r="AA54" s="102"/>
      <c r="AB54" s="108">
        <f ca="1">OFFSET(D!$A$105,MATCH($C$2,D!$C$54:$C424,0),0)</f>
        <v>35704</v>
      </c>
      <c r="AC54" s="106">
        <f ca="1">OFFSET(D!A105,MATCH($C$2,D!$C$54:$C$424,0),1)</f>
        <v>28370678</v>
      </c>
      <c r="AD54" s="107" t="str">
        <f ca="1">OFFSET(D!A105,MATCH($C$2,D!$C$54:$C$424,0),2)</f>
        <v>N/A</v>
      </c>
      <c r="AE54" s="106" t="str">
        <f ca="1">OFFSET(D!A105,MATCH($C$2,D!$C$54:$C$424,0),3)</f>
        <v>N/A</v>
      </c>
      <c r="AF54" s="102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</row>
    <row r="55" spans="1:43">
      <c r="A55" s="10" t="s">
        <v>89</v>
      </c>
      <c r="B55" s="19">
        <f ca="1">OFFSET(Y!$A$11,MATCH($C$2,Y!$C$11:$C$48345,0),53)</f>
        <v>158563</v>
      </c>
      <c r="C55" s="19">
        <f ca="1">OFFSET(Y!$A$12,MATCH($C$2,Y!$C$11:$C$48345,0),53)</f>
        <v>192234</v>
      </c>
      <c r="D55" s="19">
        <f ca="1">OFFSET(Y!$A$13,MATCH($C$2,Y!$C$11:$C$48345,0),53)</f>
        <v>185832</v>
      </c>
      <c r="E55" s="19">
        <f ca="1">OFFSET(Y!$A$14,MATCH($C$2,Y!$C$11:$C$48345,0),53)</f>
        <v>179849</v>
      </c>
      <c r="F55" s="19">
        <f ca="1">OFFSET(Y!$A$15,MATCH($C$2,Y!$C$11:$C$48345,0),53)</f>
        <v>174299</v>
      </c>
      <c r="G55" s="19">
        <f ca="1">OFFSET(Y!$A$16,MATCH($C$2,Y!$C$11:$C$48345,0),53)</f>
        <v>193676</v>
      </c>
      <c r="H55" s="19">
        <f ca="1">OFFSET(Y!$A$17,MATCH($C$2,Y!$C$11:$C$48345,0),53)</f>
        <v>197562</v>
      </c>
      <c r="I55" s="19">
        <f ca="1">OFFSET(Y!$A$18,MATCH($C$2,Y!$C$11:$C$48345,0),53)</f>
        <v>173667</v>
      </c>
      <c r="J55" s="36" t="s">
        <v>89</v>
      </c>
      <c r="K55" s="20">
        <f ca="1">OFFSET(S!$A$11,MATCH($C$2,S!$C$11:$C$47348,0),53)</f>
        <v>171455</v>
      </c>
      <c r="L55" s="20">
        <f ca="1">OFFSET(S!$A$12,MATCH($C$2,S!$C$11:$C$47348,0),53)</f>
        <v>206363</v>
      </c>
      <c r="M55" s="20">
        <f ca="1">OFFSET(S!$A$13,MATCH($C$2,S!$C$11:$C$47348,0),53)</f>
        <v>197779</v>
      </c>
      <c r="N55" s="20">
        <f ca="1">OFFSET(S!$A$14,MATCH($C$2,S!$C$11:$C$47348,0),53)</f>
        <v>158563</v>
      </c>
      <c r="O55" s="20">
        <f ca="1">OFFSET(S!$A$15,MATCH($C$2,S!$C$11:$C$47348,0),53)</f>
        <v>142576</v>
      </c>
      <c r="P55" s="20">
        <f ca="1">OFFSET(S!$A$16,MATCH($C$2,S!$C$11:$C$47348,0),53)</f>
        <v>180852</v>
      </c>
      <c r="Q55" s="20">
        <f ca="1">OFFSET(S!$A$17,MATCH($C$2,S!$C$11:$C$47348,0),53)</f>
        <v>183979</v>
      </c>
      <c r="R55" s="20">
        <f ca="1">OFFSET(S!$A$18,MATCH($C$2,S!$C$11:$C$47348,0),53)</f>
        <v>192234</v>
      </c>
      <c r="S55" s="3"/>
      <c r="T55" s="3"/>
      <c r="U55" s="3"/>
      <c r="V55" s="3"/>
      <c r="W55" s="3"/>
      <c r="X55" s="4"/>
      <c r="Y55" s="4"/>
      <c r="Z55" s="4"/>
      <c r="AA55" s="102"/>
      <c r="AB55" s="102"/>
      <c r="AC55" s="102"/>
      <c r="AD55" s="102"/>
      <c r="AE55" s="102"/>
      <c r="AF55" s="102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</row>
    <row r="56" spans="1:43">
      <c r="A56" s="37" t="s">
        <v>90</v>
      </c>
      <c r="B56" s="21">
        <f ca="1">OFFSET(Y!$A$11,MATCH($C$2,Y!$C$11:$C$48345,0),54)</f>
        <v>129401</v>
      </c>
      <c r="C56" s="21">
        <f ca="1">OFFSET(Y!$A$12,MATCH($C$2,Y!$C$11:$C$48345,0),54)</f>
        <v>117914</v>
      </c>
      <c r="D56" s="21">
        <f ca="1">OFFSET(Y!$A$13,MATCH($C$2,Y!$C$11:$C$48345,0),54)</f>
        <v>118428</v>
      </c>
      <c r="E56" s="21">
        <f ca="1">OFFSET(Y!$A$14,MATCH($C$2,Y!$C$11:$C$48345,0),54)</f>
        <v>124185</v>
      </c>
      <c r="F56" s="21">
        <f ca="1">OFFSET(Y!$A$15,MATCH($C$2,Y!$C$11:$C$48345,0),54)</f>
        <v>123891</v>
      </c>
      <c r="G56" s="21">
        <f ca="1">OFFSET(Y!$A$16,MATCH($C$2,Y!$C$11:$C$48345,0),54)</f>
        <v>137378</v>
      </c>
      <c r="H56" s="21">
        <f ca="1">OFFSET(Y!$A$17,MATCH($C$2,Y!$C$11:$C$48345,0),54)</f>
        <v>80660</v>
      </c>
      <c r="I56" s="21">
        <f ca="1">OFFSET(Y!$A$18,MATCH($C$2,Y!$C$11:$C$48345,0),54)</f>
        <v>73293</v>
      </c>
      <c r="J56" s="7" t="s">
        <v>90</v>
      </c>
      <c r="K56" s="21">
        <f ca="1">OFFSET(S!$A$11,MATCH($C$2,S!$C$11:$C$47348,0),54)</f>
        <v>133204</v>
      </c>
      <c r="L56" s="21">
        <f ca="1">OFFSET(S!$A$12,MATCH($C$2,S!$C$11:$C$47348,0),54)</f>
        <v>133450</v>
      </c>
      <c r="M56" s="21">
        <f ca="1">OFFSET(S!$A$13,MATCH($C$2,S!$C$11:$C$47348,0),54)</f>
        <v>129098</v>
      </c>
      <c r="N56" s="21">
        <f ca="1">OFFSET(S!$A$14,MATCH($C$2,S!$C$11:$C$47348,0),54)</f>
        <v>129401</v>
      </c>
      <c r="O56" s="21">
        <f ca="1">OFFSET(S!$A$15,MATCH($C$2,S!$C$11:$C$47348,0),54)</f>
        <v>126153</v>
      </c>
      <c r="P56" s="21">
        <f ca="1">OFFSET(S!$A$16,MATCH($C$2,S!$C$11:$C$47348,0),54)</f>
        <v>112361</v>
      </c>
      <c r="Q56" s="21">
        <f ca="1">OFFSET(S!$A$17,MATCH($C$2,S!$C$11:$C$47348,0),54)</f>
        <v>116912</v>
      </c>
      <c r="R56" s="21">
        <f ca="1">OFFSET(S!$A$18,MATCH($C$2,S!$C$11:$C$47348,0),54)</f>
        <v>117914</v>
      </c>
      <c r="S56" s="3"/>
      <c r="T56" s="3"/>
      <c r="U56" s="3"/>
      <c r="V56" s="3"/>
      <c r="W56" s="3"/>
      <c r="X56" s="4"/>
      <c r="Y56" s="4"/>
      <c r="Z56" s="4"/>
      <c r="AA56" s="102"/>
      <c r="AB56" s="102"/>
      <c r="AC56" s="102"/>
      <c r="AD56" s="102"/>
      <c r="AE56" s="102"/>
      <c r="AF56" s="102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</row>
    <row r="57" spans="1:43">
      <c r="A57" s="10" t="s">
        <v>91</v>
      </c>
      <c r="B57" s="19">
        <f ca="1">OFFSET(Y!$A$11,MATCH($C$2,Y!$C$11:$C$48345,0),55)</f>
        <v>0</v>
      </c>
      <c r="C57" s="19">
        <f ca="1">OFFSET(Y!$A$12,MATCH($C$2,Y!$C$11:$C$48345,0),55)</f>
        <v>0</v>
      </c>
      <c r="D57" s="19">
        <f ca="1">OFFSET(Y!$A$13,MATCH($C$2,Y!$C$11:$C$48345,0),55)</f>
        <v>0</v>
      </c>
      <c r="E57" s="19">
        <f ca="1">OFFSET(Y!$A$14,MATCH($C$2,Y!$C$11:$C$48345,0),55)</f>
        <v>0</v>
      </c>
      <c r="F57" s="19">
        <f ca="1">OFFSET(Y!$A$15,MATCH($C$2,Y!$C$11:$C$48345,0),55)</f>
        <v>0</v>
      </c>
      <c r="G57" s="19">
        <f ca="1">OFFSET(Y!$A$16,MATCH($C$2,Y!$C$11:$C$48345,0),55)</f>
        <v>0</v>
      </c>
      <c r="H57" s="19">
        <f ca="1">OFFSET(Y!$A$17,MATCH($C$2,Y!$C$11:$C$48345,0),55)</f>
        <v>0</v>
      </c>
      <c r="I57" s="19">
        <f ca="1">OFFSET(Y!$A$18,MATCH($C$2,Y!$C$11:$C$48345,0),55)</f>
        <v>0</v>
      </c>
      <c r="J57" s="36" t="s">
        <v>91</v>
      </c>
      <c r="K57" s="20">
        <f ca="1">OFFSET(S!$A$11,MATCH($C$2,S!$C$11:$C$47348,0),55)</f>
        <v>0</v>
      </c>
      <c r="L57" s="20">
        <f ca="1">OFFSET(S!$A$12,MATCH($C$2,S!$C$11:$C$47348,0),55)</f>
        <v>0</v>
      </c>
      <c r="M57" s="20">
        <f ca="1">OFFSET(S!$A$13,MATCH($C$2,S!$C$11:$C$47348,0),55)</f>
        <v>0</v>
      </c>
      <c r="N57" s="20">
        <f ca="1">OFFSET(S!$A$14,MATCH($C$2,S!$C$11:$C$47348,0),55)</f>
        <v>0</v>
      </c>
      <c r="O57" s="20">
        <f ca="1">OFFSET(S!$A$15,MATCH($C$2,S!$C$11:$C$47348,0),55)</f>
        <v>0</v>
      </c>
      <c r="P57" s="20">
        <f ca="1">OFFSET(S!$A$16,MATCH($C$2,S!$C$11:$C$47348,0),55)</f>
        <v>0</v>
      </c>
      <c r="Q57" s="20">
        <f ca="1">OFFSET(S!$A$17,MATCH($C$2,S!$C$11:$C$47348,0),55)</f>
        <v>0</v>
      </c>
      <c r="R57" s="20">
        <f ca="1">OFFSET(S!$A$18,MATCH($C$2,S!$C$11:$C$47348,0),55)</f>
        <v>0</v>
      </c>
      <c r="S57" s="3"/>
      <c r="T57" s="3"/>
      <c r="U57" s="3"/>
      <c r="V57" s="3"/>
      <c r="W57" s="3"/>
      <c r="X57" s="4"/>
      <c r="Y57" s="4"/>
      <c r="Z57" s="4"/>
      <c r="AA57" s="102"/>
      <c r="AB57" s="102"/>
      <c r="AC57" s="102"/>
      <c r="AD57" s="102"/>
      <c r="AE57" s="102"/>
      <c r="AF57" s="102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</row>
    <row r="58" spans="1:43">
      <c r="A58" s="7" t="s">
        <v>92</v>
      </c>
      <c r="B58" s="21">
        <f ca="1">OFFSET(Y!$A$11,MATCH($C$2,Y!$C$11:$C$48345,0),56)</f>
        <v>149495</v>
      </c>
      <c r="C58" s="21">
        <f ca="1">OFFSET(Y!$A$12,MATCH($C$2,Y!$C$11:$C$48345,0),56)</f>
        <v>128647</v>
      </c>
      <c r="D58" s="21">
        <f ca="1">OFFSET(Y!$A$13,MATCH($C$2,Y!$C$11:$C$48345,0),56)</f>
        <v>124522</v>
      </c>
      <c r="E58" s="21">
        <f ca="1">OFFSET(Y!$A$14,MATCH($C$2,Y!$C$11:$C$48345,0),56)</f>
        <v>114015</v>
      </c>
      <c r="F58" s="21">
        <f ca="1">OFFSET(Y!$A$15,MATCH($C$2,Y!$C$11:$C$48345,0),56)</f>
        <v>101908</v>
      </c>
      <c r="G58" s="21">
        <f ca="1">OFFSET(Y!$A$16,MATCH($C$2,Y!$C$11:$C$48345,0),56)</f>
        <v>96962</v>
      </c>
      <c r="H58" s="21">
        <f ca="1">OFFSET(Y!$A$17,MATCH($C$2,Y!$C$11:$C$48345,0),56)</f>
        <v>90770</v>
      </c>
      <c r="I58" s="21">
        <f ca="1">OFFSET(Y!$A$18,MATCH($C$2,Y!$C$11:$C$48345,0),56)</f>
        <v>84299</v>
      </c>
      <c r="J58" s="7" t="s">
        <v>92</v>
      </c>
      <c r="K58" s="21">
        <f ca="1">OFFSET(S!$A$11,MATCH($C$2,S!$C$11:$C$47348,0),56)</f>
        <v>171984</v>
      </c>
      <c r="L58" s="21">
        <f ca="1">OFFSET(S!$A$12,MATCH($C$2,S!$C$11:$C$47348,0),56)</f>
        <v>165492</v>
      </c>
      <c r="M58" s="21">
        <f ca="1">OFFSET(S!$A$13,MATCH($C$2,S!$C$11:$C$47348,0),56)</f>
        <v>163888</v>
      </c>
      <c r="N58" s="21">
        <f ca="1">OFFSET(S!$A$14,MATCH($C$2,S!$C$11:$C$47348,0),56)</f>
        <v>149495</v>
      </c>
      <c r="O58" s="21">
        <f ca="1">OFFSET(S!$A$15,MATCH($C$2,S!$C$11:$C$47348,0),56)</f>
        <v>147429</v>
      </c>
      <c r="P58" s="21">
        <f ca="1">OFFSET(S!$A$16,MATCH($C$2,S!$C$11:$C$47348,0),56)</f>
        <v>146791</v>
      </c>
      <c r="Q58" s="21">
        <f ca="1">OFFSET(S!$A$17,MATCH($C$2,S!$C$11:$C$47348,0),56)</f>
        <v>144103</v>
      </c>
      <c r="R58" s="21">
        <f ca="1">OFFSET(S!$A$18,MATCH($C$2,S!$C$11:$C$47348,0),56)</f>
        <v>128647</v>
      </c>
      <c r="S58" s="3"/>
      <c r="T58" s="3"/>
      <c r="U58" s="3"/>
      <c r="V58" s="3"/>
      <c r="W58" s="3"/>
      <c r="X58" s="4"/>
      <c r="Y58" s="4"/>
      <c r="Z58" s="4"/>
      <c r="AA58" s="102"/>
      <c r="AB58" s="102"/>
      <c r="AC58" s="102"/>
      <c r="AD58" s="102"/>
      <c r="AE58" s="102"/>
      <c r="AF58" s="102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</row>
    <row r="59" spans="1:43">
      <c r="A59" s="10" t="s">
        <v>93</v>
      </c>
      <c r="B59" s="19">
        <f ca="1">OFFSET(Y!$A$11,MATCH($C$2,Y!$C$11:$C$48345,0),57)</f>
        <v>984979</v>
      </c>
      <c r="C59" s="19">
        <f ca="1">OFFSET(Y!$A$12,MATCH($C$2,Y!$C$11:$C$48345,0),57)</f>
        <v>852734</v>
      </c>
      <c r="D59" s="19">
        <f ca="1">OFFSET(Y!$A$13,MATCH($C$2,Y!$C$11:$C$48345,0),57)</f>
        <v>713426</v>
      </c>
      <c r="E59" s="19">
        <f ca="1">OFFSET(Y!$A$14,MATCH($C$2,Y!$C$11:$C$48345,0),57)</f>
        <v>635008</v>
      </c>
      <c r="F59" s="19">
        <f ca="1">OFFSET(Y!$A$15,MATCH($C$2,Y!$C$11:$C$48345,0),57)</f>
        <v>589132</v>
      </c>
      <c r="G59" s="19">
        <f ca="1">OFFSET(Y!$A$16,MATCH($C$2,Y!$C$11:$C$48345,0),57)</f>
        <v>527851</v>
      </c>
      <c r="H59" s="19">
        <f ca="1">OFFSET(Y!$A$17,MATCH($C$2,Y!$C$11:$C$48345,0),57)</f>
        <v>459851</v>
      </c>
      <c r="I59" s="19">
        <f ca="1">OFFSET(Y!$A$18,MATCH($C$2,Y!$C$11:$C$48345,0),57)</f>
        <v>390719</v>
      </c>
      <c r="J59" s="36" t="s">
        <v>93</v>
      </c>
      <c r="K59" s="20">
        <f ca="1">OFFSET(S!$A$11,MATCH($C$2,S!$C$11:$C$47348,0),57)</f>
        <v>1185756</v>
      </c>
      <c r="L59" s="20">
        <f ca="1">OFFSET(S!$A$12,MATCH($C$2,S!$C$11:$C$47348,0),57)</f>
        <v>1113875</v>
      </c>
      <c r="M59" s="20">
        <f ca="1">OFFSET(S!$A$13,MATCH($C$2,S!$C$11:$C$47348,0),57)</f>
        <v>1071298</v>
      </c>
      <c r="N59" s="20">
        <f ca="1">OFFSET(S!$A$14,MATCH($C$2,S!$C$11:$C$47348,0),57)</f>
        <v>984979</v>
      </c>
      <c r="O59" s="20">
        <f ca="1">OFFSET(S!$A$15,MATCH($C$2,S!$C$11:$C$47348,0),57)</f>
        <v>967086</v>
      </c>
      <c r="P59" s="20">
        <f ca="1">OFFSET(S!$A$16,MATCH($C$2,S!$C$11:$C$47348,0),57)</f>
        <v>950275</v>
      </c>
      <c r="Q59" s="20">
        <f ca="1">OFFSET(S!$A$17,MATCH($C$2,S!$C$11:$C$47348,0),57)</f>
        <v>919031</v>
      </c>
      <c r="R59" s="20">
        <f ca="1">OFFSET(S!$A$18,MATCH($C$2,S!$C$11:$C$47348,0),57)</f>
        <v>852734</v>
      </c>
      <c r="S59" s="3"/>
      <c r="T59" s="3"/>
      <c r="U59" s="3"/>
      <c r="V59" s="3"/>
      <c r="W59" s="3"/>
      <c r="X59" s="4"/>
      <c r="Y59" s="4"/>
      <c r="Z59" s="4"/>
      <c r="AA59" s="102"/>
      <c r="AB59" s="102"/>
      <c r="AC59" s="102"/>
      <c r="AD59" s="102"/>
      <c r="AE59" s="102"/>
      <c r="AF59" s="102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</row>
    <row r="60" spans="1:43">
      <c r="A60" s="7" t="s">
        <v>94</v>
      </c>
      <c r="B60" s="21">
        <f ca="1">OFFSET(Y!$A$11,MATCH($C$2,Y!$C$11:$C$48345,0),58)</f>
        <v>13824</v>
      </c>
      <c r="C60" s="21">
        <f ca="1">OFFSET(Y!$A$12,MATCH($C$2,Y!$C$11:$C$48345,0),58)</f>
        <v>11731</v>
      </c>
      <c r="D60" s="21">
        <f ca="1">OFFSET(Y!$A$13,MATCH($C$2,Y!$C$11:$C$48345,0),58)</f>
        <v>10781</v>
      </c>
      <c r="E60" s="21">
        <f ca="1">OFFSET(Y!$A$14,MATCH($C$2,Y!$C$11:$C$48345,0),58)</f>
        <v>9749</v>
      </c>
      <c r="F60" s="21">
        <f ca="1">OFFSET(Y!$A$15,MATCH($C$2,Y!$C$11:$C$48345,0),58)</f>
        <v>9167</v>
      </c>
      <c r="G60" s="21">
        <f ca="1">OFFSET(Y!$A$16,MATCH($C$2,Y!$C$11:$C$48345,0),58)</f>
        <v>8659</v>
      </c>
      <c r="H60" s="21">
        <f ca="1">OFFSET(Y!$A$17,MATCH($C$2,Y!$C$11:$C$48345,0),58)</f>
        <v>7850</v>
      </c>
      <c r="I60" s="21">
        <f ca="1">OFFSET(Y!$A$18,MATCH($C$2,Y!$C$11:$C$48345,0),58)</f>
        <v>7041</v>
      </c>
      <c r="J60" s="7" t="s">
        <v>94</v>
      </c>
      <c r="K60" s="21">
        <f ca="1">OFFSET(S!$A$11,MATCH($C$2,S!$C$11:$C$47348,0),58)</f>
        <v>15989</v>
      </c>
      <c r="L60" s="21">
        <f ca="1">OFFSET(S!$A$12,MATCH($C$2,S!$C$11:$C$47348,0),58)</f>
        <v>15396</v>
      </c>
      <c r="M60" s="21">
        <f ca="1">OFFSET(S!$A$13,MATCH($C$2,S!$C$11:$C$47348,0),58)</f>
        <v>14858</v>
      </c>
      <c r="N60" s="21">
        <f ca="1">OFFSET(S!$A$14,MATCH($C$2,S!$C$11:$C$47348,0),58)</f>
        <v>13824</v>
      </c>
      <c r="O60" s="21">
        <f ca="1">OFFSET(S!$A$15,MATCH($C$2,S!$C$11:$C$47348,0),58)</f>
        <v>13408</v>
      </c>
      <c r="P60" s="21">
        <f ca="1">OFFSET(S!$A$16,MATCH($C$2,S!$C$11:$C$47348,0),58)</f>
        <v>12916</v>
      </c>
      <c r="Q60" s="21">
        <f ca="1">OFFSET(S!$A$17,MATCH($C$2,S!$C$11:$C$47348,0),58)</f>
        <v>12398</v>
      </c>
      <c r="R60" s="21">
        <f ca="1">OFFSET(S!$A$18,MATCH($C$2,S!$C$11:$C$47348,0),58)</f>
        <v>11731</v>
      </c>
      <c r="S60" s="3"/>
      <c r="T60" s="3"/>
      <c r="U60" s="3"/>
      <c r="V60" s="3"/>
      <c r="W60" s="3"/>
      <c r="X60" s="4"/>
      <c r="Y60" s="4"/>
      <c r="Z60" s="4"/>
      <c r="AA60" s="102"/>
      <c r="AB60" s="102"/>
      <c r="AC60" s="102"/>
      <c r="AD60" s="102"/>
      <c r="AE60" s="102"/>
      <c r="AF60" s="102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</row>
    <row r="61" spans="1:43">
      <c r="A61" s="10" t="s">
        <v>95</v>
      </c>
      <c r="B61" s="19">
        <f ca="1">OFFSET(Y!$A$11,MATCH($C$2,Y!$C$11:$C$48345,0),59)</f>
        <v>0</v>
      </c>
      <c r="C61" s="19">
        <f ca="1">OFFSET(Y!$A$12,MATCH($C$2,Y!$C$11:$C$48345,0),59)</f>
        <v>0</v>
      </c>
      <c r="D61" s="19">
        <f ca="1">OFFSET(Y!$A$13,MATCH($C$2,Y!$C$11:$C$48345,0),59)</f>
        <v>0</v>
      </c>
      <c r="E61" s="19">
        <f ca="1">OFFSET(Y!$A$14,MATCH($C$2,Y!$C$11:$C$48345,0),59)</f>
        <v>0</v>
      </c>
      <c r="F61" s="19">
        <f ca="1">OFFSET(Y!$A$15,MATCH($C$2,Y!$C$11:$C$48345,0),59)</f>
        <v>0</v>
      </c>
      <c r="G61" s="19">
        <f ca="1">OFFSET(Y!$A$16,MATCH($C$2,Y!$C$11:$C$48345,0),59)</f>
        <v>0</v>
      </c>
      <c r="H61" s="19">
        <f ca="1">OFFSET(Y!$A$17,MATCH($C$2,Y!$C$11:$C$48345,0),59)</f>
        <v>0</v>
      </c>
      <c r="I61" s="19">
        <f ca="1">OFFSET(Y!$A$18,MATCH($C$2,Y!$C$11:$C$48345,0),59)</f>
        <v>0</v>
      </c>
      <c r="J61" s="36" t="s">
        <v>95</v>
      </c>
      <c r="K61" s="20">
        <f ca="1">OFFSET(S!$A$11,MATCH($C$2,S!$C$11:$C$47348,0),59)</f>
        <v>0</v>
      </c>
      <c r="L61" s="20">
        <f ca="1">OFFSET(S!$A$12,MATCH($C$2,S!$C$11:$C$47348,0),59)</f>
        <v>0</v>
      </c>
      <c r="M61" s="20">
        <f ca="1">OFFSET(S!$A$13,MATCH($C$2,S!$C$11:$C$47348,0),59)</f>
        <v>0</v>
      </c>
      <c r="N61" s="20">
        <f ca="1">OFFSET(S!$A$14,MATCH($C$2,S!$C$11:$C$47348,0),59)</f>
        <v>0</v>
      </c>
      <c r="O61" s="20">
        <f ca="1">OFFSET(S!$A$15,MATCH($C$2,S!$C$11:$C$47348,0),59)</f>
        <v>0</v>
      </c>
      <c r="P61" s="20">
        <f ca="1">OFFSET(S!$A$16,MATCH($C$2,S!$C$11:$C$47348,0),59)</f>
        <v>0</v>
      </c>
      <c r="Q61" s="20">
        <f ca="1">OFFSET(S!$A$17,MATCH($C$2,S!$C$11:$C$47348,0),59)</f>
        <v>0</v>
      </c>
      <c r="R61" s="20">
        <f ca="1">OFFSET(S!$A$18,MATCH($C$2,S!$C$11:$C$47348,0),59)</f>
        <v>0</v>
      </c>
      <c r="S61" s="3"/>
      <c r="T61" s="3"/>
      <c r="U61" s="3"/>
      <c r="V61" s="3"/>
      <c r="W61" s="3"/>
      <c r="X61" s="4"/>
      <c r="Y61" s="4"/>
      <c r="Z61" s="4"/>
      <c r="AA61" s="102"/>
      <c r="AB61" s="102"/>
      <c r="AC61" s="102"/>
      <c r="AD61" s="102"/>
      <c r="AE61" s="102"/>
      <c r="AF61" s="102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</row>
    <row r="62" spans="1:43">
      <c r="A62" s="7" t="s">
        <v>96</v>
      </c>
      <c r="B62" s="21">
        <f ca="1">OFFSET(Y!$A$11,MATCH($C$2,Y!$C$11:$C$48345,0),60)</f>
        <v>-804741</v>
      </c>
      <c r="C62" s="21">
        <f ca="1">OFFSET(Y!$A$12,MATCH($C$2,Y!$C$11:$C$48345,0),60)</f>
        <v>-706605</v>
      </c>
      <c r="D62" s="21">
        <f ca="1">OFFSET(Y!$A$13,MATCH($C$2,Y!$C$11:$C$48345,0),60)</f>
        <v>-627764</v>
      </c>
      <c r="E62" s="21">
        <f ca="1">OFFSET(Y!$A$14,MATCH($C$2,Y!$C$11:$C$48345,0),60)</f>
        <v>-557247</v>
      </c>
      <c r="F62" s="21">
        <f ca="1">OFFSET(Y!$A$15,MATCH($C$2,Y!$C$11:$C$48345,0),60)</f>
        <v>-486725</v>
      </c>
      <c r="G62" s="21">
        <f ca="1">OFFSET(Y!$A$16,MATCH($C$2,Y!$C$11:$C$48345,0),60)</f>
        <v>-417467</v>
      </c>
      <c r="H62" s="21">
        <f ca="1">OFFSET(Y!$A$17,MATCH($C$2,Y!$C$11:$C$48345,0),60)</f>
        <v>-359192</v>
      </c>
      <c r="I62" s="21">
        <f ca="1">OFFSET(Y!$A$18,MATCH($C$2,Y!$C$11:$C$48345,0),60)</f>
        <v>-300006</v>
      </c>
      <c r="J62" s="7" t="s">
        <v>96</v>
      </c>
      <c r="K62" s="21">
        <f ca="1">OFFSET(S!$A$11,MATCH($C$2,S!$C$11:$C$47348,0),60)</f>
        <v>-891718</v>
      </c>
      <c r="L62" s="21">
        <f ca="1">OFFSET(S!$A$12,MATCH($C$2,S!$C$11:$C$47348,0),60)</f>
        <v>-859587</v>
      </c>
      <c r="M62" s="21">
        <f ca="1">OFFSET(S!$A$13,MATCH($C$2,S!$C$11:$C$47348,0),60)</f>
        <v>-829753</v>
      </c>
      <c r="N62" s="21">
        <f ca="1">OFFSET(S!$A$14,MATCH($C$2,S!$C$11:$C$47348,0),60)</f>
        <v>-804741</v>
      </c>
      <c r="O62" s="21">
        <f ca="1">OFFSET(S!$A$15,MATCH($C$2,S!$C$11:$C$47348,0),60)</f>
        <v>-779462</v>
      </c>
      <c r="P62" s="21">
        <f ca="1">OFFSET(S!$A$16,MATCH($C$2,S!$C$11:$C$47348,0),60)</f>
        <v>-754185</v>
      </c>
      <c r="Q62" s="21">
        <f ca="1">OFFSET(S!$A$17,MATCH($C$2,S!$C$11:$C$47348,0),60)</f>
        <v>-729610</v>
      </c>
      <c r="R62" s="21">
        <f ca="1">OFFSET(S!$A$18,MATCH($C$2,S!$C$11:$C$47348,0),60)</f>
        <v>-706605</v>
      </c>
      <c r="S62" s="3"/>
      <c r="T62" s="3"/>
      <c r="U62" s="3"/>
      <c r="V62" s="3"/>
      <c r="W62" s="3"/>
      <c r="X62" s="4"/>
      <c r="Y62" s="4"/>
      <c r="Z62" s="4"/>
      <c r="AA62" s="102"/>
      <c r="AB62" s="102"/>
      <c r="AC62" s="102"/>
      <c r="AD62" s="102"/>
      <c r="AE62" s="102"/>
      <c r="AF62" s="102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</row>
    <row r="63" spans="1:43">
      <c r="A63" s="10" t="s">
        <v>97</v>
      </c>
      <c r="B63" s="19">
        <f ca="1">OFFSET(Y!$A$11,MATCH($C$2,Y!$C$11:$C$48345,0),61)</f>
        <v>0</v>
      </c>
      <c r="C63" s="19">
        <f ca="1">OFFSET(Y!$A$12,MATCH($C$2,Y!$C$11:$C$48345,0),61)</f>
        <v>0</v>
      </c>
      <c r="D63" s="19">
        <f ca="1">OFFSET(Y!$A$13,MATCH($C$2,Y!$C$11:$C$48345,0),61)</f>
        <v>0</v>
      </c>
      <c r="E63" s="19">
        <f ca="1">OFFSET(Y!$A$14,MATCH($C$2,Y!$C$11:$C$48345,0),61)</f>
        <v>0</v>
      </c>
      <c r="F63" s="19">
        <f ca="1">OFFSET(Y!$A$15,MATCH($C$2,Y!$C$11:$C$48345,0),61)</f>
        <v>0</v>
      </c>
      <c r="G63" s="19">
        <f ca="1">OFFSET(Y!$A$16,MATCH($C$2,Y!$C$11:$C$48345,0),61)</f>
        <v>0</v>
      </c>
      <c r="H63" s="19">
        <f ca="1">OFFSET(Y!$A$17,MATCH($C$2,Y!$C$11:$C$48345,0),61)</f>
        <v>0</v>
      </c>
      <c r="I63" s="19">
        <f ca="1">OFFSET(Y!$A$18,MATCH($C$2,Y!$C$11:$C$48345,0),61)</f>
        <v>0</v>
      </c>
      <c r="J63" s="12" t="s">
        <v>97</v>
      </c>
      <c r="K63" s="20">
        <f ca="1">OFFSET(S!$A$11,MATCH($C$2,S!$C$11:$C$47348,0),61)</f>
        <v>0</v>
      </c>
      <c r="L63" s="20">
        <f ca="1">OFFSET(S!$A$12,MATCH($C$2,S!$C$11:$C$47348,0),61)</f>
        <v>0</v>
      </c>
      <c r="M63" s="20">
        <f ca="1">OFFSET(S!$A$13,MATCH($C$2,S!$C$11:$C$47348,0),61)</f>
        <v>0</v>
      </c>
      <c r="N63" s="20">
        <f ca="1">OFFSET(S!$A$14,MATCH($C$2,S!$C$11:$C$47348,0),61)</f>
        <v>0</v>
      </c>
      <c r="O63" s="20">
        <f ca="1">OFFSET(S!$A$15,MATCH($C$2,S!$C$11:$C$47348,0),61)</f>
        <v>0</v>
      </c>
      <c r="P63" s="20">
        <f ca="1">OFFSET(S!$A$16,MATCH($C$2,S!$C$11:$C$47348,0),61)</f>
        <v>0</v>
      </c>
      <c r="Q63" s="20">
        <f ca="1">OFFSET(S!$A$17,MATCH($C$2,S!$C$11:$C$47348,0),61)</f>
        <v>0</v>
      </c>
      <c r="R63" s="20">
        <f ca="1">OFFSET(S!$A$18,MATCH($C$2,S!$C$11:$C$47348,0),61)</f>
        <v>0</v>
      </c>
      <c r="S63" s="3"/>
      <c r="T63" s="3"/>
      <c r="U63" s="3"/>
      <c r="V63" s="3"/>
      <c r="W63" s="3"/>
      <c r="X63" s="4"/>
      <c r="Y63" s="4"/>
      <c r="Z63" s="4"/>
      <c r="AA63" s="102"/>
      <c r="AB63" s="102"/>
      <c r="AC63" s="102"/>
      <c r="AD63" s="102"/>
      <c r="AE63" s="102"/>
      <c r="AF63" s="102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</row>
    <row r="64" spans="1:43">
      <c r="A64" s="7" t="s">
        <v>98</v>
      </c>
      <c r="B64" s="21">
        <f ca="1">OFFSET(Y!$A$11,MATCH($C$2,Y!$C$11:$C$48345,0),62)</f>
        <v>110816</v>
      </c>
      <c r="C64" s="21">
        <f ca="1">OFFSET(Y!$A$12,MATCH($C$2,Y!$C$11:$C$48345,0),62)</f>
        <v>80349</v>
      </c>
      <c r="D64" s="21">
        <f ca="1">OFFSET(Y!$A$13,MATCH($C$2,Y!$C$11:$C$48345,0),62)</f>
        <v>33787</v>
      </c>
      <c r="E64" s="21">
        <f ca="1">OFFSET(Y!$A$14,MATCH($C$2,Y!$C$11:$C$48345,0),62)</f>
        <v>17758</v>
      </c>
      <c r="F64" s="21">
        <f ca="1">OFFSET(Y!$A$15,MATCH($C$2,Y!$C$11:$C$48345,0),62)</f>
        <v>21083</v>
      </c>
      <c r="G64" s="21">
        <f ca="1">OFFSET(Y!$A$16,MATCH($C$2,Y!$C$11:$C$48345,0),62)</f>
        <v>12231</v>
      </c>
      <c r="H64" s="21">
        <f ca="1">OFFSET(Y!$A$17,MATCH($C$2,Y!$C$11:$C$48345,0),62)</f>
        <v>14867</v>
      </c>
      <c r="I64" s="21">
        <f ca="1">OFFSET(Y!$A$18,MATCH($C$2,Y!$C$11:$C$48345,0),62)</f>
        <v>45923</v>
      </c>
      <c r="J64" s="7" t="s">
        <v>98</v>
      </c>
      <c r="K64" s="21">
        <f ca="1">OFFSET(S!$A$11,MATCH($C$2,S!$C$11:$C$47348,0),62)</f>
        <v>65763</v>
      </c>
      <c r="L64" s="21">
        <f ca="1">OFFSET(S!$A$12,MATCH($C$2,S!$C$11:$C$47348,0),62)</f>
        <v>79017</v>
      </c>
      <c r="M64" s="21">
        <f ca="1">OFFSET(S!$A$13,MATCH($C$2,S!$C$11:$C$47348,0),62)</f>
        <v>55232</v>
      </c>
      <c r="N64" s="21">
        <f ca="1">OFFSET(S!$A$14,MATCH($C$2,S!$C$11:$C$47348,0),62)</f>
        <v>110816</v>
      </c>
      <c r="O64" s="21">
        <f ca="1">OFFSET(S!$A$15,MATCH($C$2,S!$C$11:$C$47348,0),62)</f>
        <v>88919</v>
      </c>
      <c r="P64" s="21">
        <f ca="1">OFFSET(S!$A$16,MATCH($C$2,S!$C$11:$C$47348,0),62)</f>
        <v>93046</v>
      </c>
      <c r="Q64" s="21">
        <f ca="1">OFFSET(S!$A$17,MATCH($C$2,S!$C$11:$C$47348,0),62)</f>
        <v>65401</v>
      </c>
      <c r="R64" s="21">
        <f ca="1">OFFSET(S!$A$18,MATCH($C$2,S!$C$11:$C$47348,0),62)</f>
        <v>80349</v>
      </c>
      <c r="S64" s="3"/>
      <c r="T64" s="3"/>
      <c r="U64" s="3"/>
      <c r="V64" s="3"/>
      <c r="W64" s="3"/>
      <c r="X64" s="4"/>
      <c r="Y64" s="4"/>
      <c r="Z64" s="4"/>
      <c r="AA64" s="102"/>
      <c r="AB64" s="102"/>
      <c r="AC64" s="102"/>
      <c r="AD64" s="102"/>
      <c r="AE64" s="102"/>
      <c r="AF64" s="102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</row>
    <row r="65" spans="1:43">
      <c r="A65" s="10" t="s">
        <v>99</v>
      </c>
      <c r="B65" s="19">
        <f ca="1">OFFSET(Y!$A$11,MATCH($C$2,Y!$C$11:$C$48345,0),63)</f>
        <v>454374</v>
      </c>
      <c r="C65" s="19">
        <f ca="1">OFFSET(Y!$A$12,MATCH($C$2,Y!$C$11:$C$48345,0),63)</f>
        <v>366854</v>
      </c>
      <c r="D65" s="19">
        <f ca="1">OFFSET(Y!$A$13,MATCH($C$2,Y!$C$11:$C$48345,0),63)</f>
        <v>254752</v>
      </c>
      <c r="E65" s="19">
        <f ca="1">OFFSET(Y!$A$14,MATCH($C$2,Y!$C$11:$C$48345,0),63)</f>
        <v>219283</v>
      </c>
      <c r="F65" s="19">
        <f ca="1">OFFSET(Y!$A$15,MATCH($C$2,Y!$C$11:$C$48345,0),63)</f>
        <v>234565</v>
      </c>
      <c r="G65" s="19">
        <f ca="1">OFFSET(Y!$A$16,MATCH($C$2,Y!$C$11:$C$48345,0),63)</f>
        <v>228235</v>
      </c>
      <c r="H65" s="19">
        <f ca="1">OFFSET(Y!$A$17,MATCH($C$2,Y!$C$11:$C$48345,0),63)</f>
        <v>214146</v>
      </c>
      <c r="I65" s="19">
        <f ca="1">OFFSET(Y!$A$18,MATCH($C$2,Y!$C$11:$C$48345,0),63)</f>
        <v>227976</v>
      </c>
      <c r="J65" s="36" t="s">
        <v>99</v>
      </c>
      <c r="K65" s="20">
        <f ca="1">OFFSET(S!$A$11,MATCH($C$2,S!$C$11:$C$47348,0),63)</f>
        <v>547773</v>
      </c>
      <c r="L65" s="20">
        <f ca="1">OFFSET(S!$A$12,MATCH($C$2,S!$C$11:$C$47348,0),63)</f>
        <v>514193</v>
      </c>
      <c r="M65" s="20">
        <f ca="1">OFFSET(S!$A$13,MATCH($C$2,S!$C$11:$C$47348,0),63)</f>
        <v>475524</v>
      </c>
      <c r="N65" s="20">
        <f ca="1">OFFSET(S!$A$14,MATCH($C$2,S!$C$11:$C$47348,0),63)</f>
        <v>454374</v>
      </c>
      <c r="O65" s="20">
        <f ca="1">OFFSET(S!$A$15,MATCH($C$2,S!$C$11:$C$47348,0),63)</f>
        <v>437380</v>
      </c>
      <c r="P65" s="20">
        <f ca="1">OFFSET(S!$A$16,MATCH($C$2,S!$C$11:$C$47348,0),63)</f>
        <v>448842</v>
      </c>
      <c r="Q65" s="20">
        <f ca="1">OFFSET(S!$A$17,MATCH($C$2,S!$C$11:$C$47348,0),63)</f>
        <v>411321</v>
      </c>
      <c r="R65" s="20">
        <f ca="1">OFFSET(S!$A$18,MATCH($C$2,S!$C$11:$C$47348,0),63)</f>
        <v>366854</v>
      </c>
      <c r="S65" s="3"/>
      <c r="T65" s="3"/>
      <c r="U65" s="3"/>
      <c r="V65" s="3"/>
      <c r="W65" s="3"/>
      <c r="X65" s="4"/>
      <c r="Y65" s="4"/>
      <c r="Z65" s="4"/>
      <c r="AA65" s="102"/>
      <c r="AB65" s="102"/>
      <c r="AC65" s="102"/>
      <c r="AD65" s="102"/>
      <c r="AE65" s="102"/>
      <c r="AF65" s="102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</row>
    <row r="66" spans="1:43">
      <c r="A66" s="7" t="s">
        <v>100</v>
      </c>
      <c r="B66" s="21">
        <f ca="1">OFFSET(Y!$A$11,MATCH($C$2,Y!$C$11:$C$48345,0),64)</f>
        <v>7222</v>
      </c>
      <c r="C66" s="21">
        <f ca="1">OFFSET(Y!$A$12,MATCH($C$2,Y!$C$11:$C$48345,0),64)</f>
        <v>7154</v>
      </c>
      <c r="D66" s="21">
        <f ca="1">OFFSET(Y!$A$13,MATCH($C$2,Y!$C$11:$C$48345,0),64)</f>
        <v>13655</v>
      </c>
      <c r="E66" s="21">
        <f ca="1">OFFSET(Y!$A$14,MATCH($C$2,Y!$C$11:$C$48345,0),64)</f>
        <v>12899</v>
      </c>
      <c r="F66" s="21">
        <f ca="1">OFFSET(Y!$A$15,MATCH($C$2,Y!$C$11:$C$48345,0),64)</f>
        <v>14414</v>
      </c>
      <c r="G66" s="21">
        <f ca="1">OFFSET(Y!$A$16,MATCH($C$2,Y!$C$11:$C$48345,0),64)</f>
        <v>11354</v>
      </c>
      <c r="H66" s="21">
        <f ca="1">OFFSET(Y!$A$17,MATCH($C$2,Y!$C$11:$C$48345,0),64)</f>
        <v>13441</v>
      </c>
      <c r="I66" s="21">
        <f ca="1">OFFSET(Y!$A$18,MATCH($C$2,Y!$C$11:$C$48345,0),64)</f>
        <v>10490</v>
      </c>
      <c r="J66" s="7" t="s">
        <v>100</v>
      </c>
      <c r="K66" s="21">
        <f ca="1">OFFSET(S!$A$11,MATCH($C$2,S!$C$11:$C$47348,0),64)</f>
        <v>8058</v>
      </c>
      <c r="L66" s="21">
        <f ca="1">OFFSET(S!$A$12,MATCH($C$2,S!$C$11:$C$47348,0),64)</f>
        <v>8056</v>
      </c>
      <c r="M66" s="21">
        <f ca="1">OFFSET(S!$A$13,MATCH($C$2,S!$C$11:$C$47348,0),64)</f>
        <v>7016</v>
      </c>
      <c r="N66" s="21">
        <f ca="1">OFFSET(S!$A$14,MATCH($C$2,S!$C$11:$C$47348,0),64)</f>
        <v>7222</v>
      </c>
      <c r="O66" s="21">
        <f ca="1">OFFSET(S!$A$15,MATCH($C$2,S!$C$11:$C$47348,0),64)</f>
        <v>11091</v>
      </c>
      <c r="P66" s="21">
        <f ca="1">OFFSET(S!$A$16,MATCH($C$2,S!$C$11:$C$47348,0),64)</f>
        <v>10855</v>
      </c>
      <c r="Q66" s="21">
        <f ca="1">OFFSET(S!$A$17,MATCH($C$2,S!$C$11:$C$47348,0),64)</f>
        <v>6386</v>
      </c>
      <c r="R66" s="21">
        <f ca="1">OFFSET(S!$A$18,MATCH($C$2,S!$C$11:$C$47348,0),64)</f>
        <v>7154</v>
      </c>
      <c r="S66" s="3"/>
      <c r="T66" s="3"/>
      <c r="U66" s="3"/>
      <c r="V66" s="3"/>
      <c r="W66" s="3"/>
      <c r="X66" s="4"/>
      <c r="Y66" s="4"/>
      <c r="Z66" s="4"/>
      <c r="AA66" s="102"/>
      <c r="AB66" s="102"/>
      <c r="AC66" s="102"/>
      <c r="AD66" s="102"/>
      <c r="AE66" s="102"/>
      <c r="AF66" s="102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</row>
    <row r="67" spans="1:43">
      <c r="A67" s="10" t="s">
        <v>101</v>
      </c>
      <c r="B67" s="19">
        <f ca="1">OFFSET(Y!$A$11,MATCH($C$2,Y!$C$11:$C$48345,0),65)</f>
        <v>1568</v>
      </c>
      <c r="C67" s="19">
        <f ca="1">OFFSET(Y!$A$12,MATCH($C$2,Y!$C$11:$C$48345,0),65)</f>
        <v>1568</v>
      </c>
      <c r="D67" s="19">
        <f ca="1">OFFSET(Y!$A$13,MATCH($C$2,Y!$C$11:$C$48345,0),65)</f>
        <v>1568</v>
      </c>
      <c r="E67" s="19">
        <f ca="1">OFFSET(Y!$A$14,MATCH($C$2,Y!$C$11:$C$48345,0),65)</f>
        <v>1568</v>
      </c>
      <c r="F67" s="19">
        <f ca="1">OFFSET(Y!$A$15,MATCH($C$2,Y!$C$11:$C$48345,0),65)</f>
        <v>1568</v>
      </c>
      <c r="G67" s="19">
        <f ca="1">OFFSET(Y!$A$16,MATCH($C$2,Y!$C$11:$C$48345,0),65)</f>
        <v>1568</v>
      </c>
      <c r="H67" s="19">
        <f ca="1">OFFSET(Y!$A$17,MATCH($C$2,Y!$C$11:$C$48345,0),65)</f>
        <v>1568</v>
      </c>
      <c r="I67" s="19">
        <f ca="1">OFFSET(Y!$A$18,MATCH($C$2,Y!$C$11:$C$48345,0),65)</f>
        <v>1916</v>
      </c>
      <c r="J67" s="12" t="s">
        <v>101</v>
      </c>
      <c r="K67" s="20">
        <f ca="1">OFFSET(S!$A$11,MATCH($C$2,S!$C$11:$C$47348,0),65)</f>
        <v>1568</v>
      </c>
      <c r="L67" s="20">
        <f ca="1">OFFSET(S!$A$12,MATCH($C$2,S!$C$11:$C$47348,0),65)</f>
        <v>1568</v>
      </c>
      <c r="M67" s="20">
        <f ca="1">OFFSET(S!$A$13,MATCH($C$2,S!$C$11:$C$47348,0),65)</f>
        <v>1568</v>
      </c>
      <c r="N67" s="20">
        <f ca="1">OFFSET(S!$A$14,MATCH($C$2,S!$C$11:$C$47348,0),65)</f>
        <v>1568</v>
      </c>
      <c r="O67" s="20">
        <f ca="1">OFFSET(S!$A$15,MATCH($C$2,S!$C$11:$C$47348,0),65)</f>
        <v>1568</v>
      </c>
      <c r="P67" s="20">
        <f ca="1">OFFSET(S!$A$16,MATCH($C$2,S!$C$11:$C$47348,0),65)</f>
        <v>1568</v>
      </c>
      <c r="Q67" s="20">
        <f ca="1">OFFSET(S!$A$17,MATCH($C$2,S!$C$11:$C$47348,0),65)</f>
        <v>1568</v>
      </c>
      <c r="R67" s="20">
        <f ca="1">OFFSET(S!$A$18,MATCH($C$2,S!$C$11:$C$47348,0),65)</f>
        <v>1568</v>
      </c>
      <c r="S67" s="3"/>
      <c r="T67" s="3"/>
      <c r="U67" s="3"/>
      <c r="V67" s="3"/>
      <c r="W67" s="3"/>
      <c r="X67" s="4"/>
      <c r="Y67" s="4"/>
      <c r="Z67" s="4"/>
      <c r="AA67" s="102"/>
      <c r="AB67" s="102"/>
      <c r="AC67" s="102"/>
      <c r="AD67" s="102"/>
      <c r="AE67" s="102"/>
      <c r="AF67" s="102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</row>
    <row r="68" spans="1:43">
      <c r="A68" s="7" t="s">
        <v>102</v>
      </c>
      <c r="B68" s="21">
        <f ca="1">OFFSET(Y!$A$11,MATCH($C$2,Y!$C$11:$C$48345,0),66)</f>
        <v>10281</v>
      </c>
      <c r="C68" s="21">
        <f ca="1">OFFSET(Y!$A$12,MATCH($C$2,Y!$C$11:$C$48345,0),66)</f>
        <v>15515</v>
      </c>
      <c r="D68" s="21">
        <f ca="1">OFFSET(Y!$A$13,MATCH($C$2,Y!$C$11:$C$48345,0),66)</f>
        <v>3193</v>
      </c>
      <c r="E68" s="21">
        <f ca="1">OFFSET(Y!$A$14,MATCH($C$2,Y!$C$11:$C$48345,0),66)</f>
        <v>2775</v>
      </c>
      <c r="F68" s="21">
        <f ca="1">OFFSET(Y!$A$15,MATCH($C$2,Y!$C$11:$C$48345,0),66)</f>
        <v>3036</v>
      </c>
      <c r="G68" s="21">
        <f ca="1">OFFSET(Y!$A$16,MATCH($C$2,Y!$C$11:$C$48345,0),66)</f>
        <v>1373</v>
      </c>
      <c r="H68" s="21">
        <f ca="1">OFFSET(Y!$A$17,MATCH($C$2,Y!$C$11:$C$48345,0),66)</f>
        <v>163</v>
      </c>
      <c r="I68" s="21">
        <f ca="1">OFFSET(Y!$A$18,MATCH($C$2,Y!$C$11:$C$48345,0),66)</f>
        <v>210</v>
      </c>
      <c r="J68" s="7" t="s">
        <v>102</v>
      </c>
      <c r="K68" s="21">
        <f ca="1">OFFSET(S!$A$11,MATCH($C$2,S!$C$11:$C$47348,0),66)</f>
        <v>7985</v>
      </c>
      <c r="L68" s="21">
        <f ca="1">OFFSET(S!$A$12,MATCH($C$2,S!$C$11:$C$47348,0),66)</f>
        <v>9731</v>
      </c>
      <c r="M68" s="21">
        <f ca="1">OFFSET(S!$A$13,MATCH($C$2,S!$C$11:$C$47348,0),66)</f>
        <v>10153</v>
      </c>
      <c r="N68" s="21">
        <f ca="1">OFFSET(S!$A$14,MATCH($C$2,S!$C$11:$C$47348,0),66)</f>
        <v>10281</v>
      </c>
      <c r="O68" s="21">
        <f ca="1">OFFSET(S!$A$15,MATCH($C$2,S!$C$11:$C$47348,0),66)</f>
        <v>10517</v>
      </c>
      <c r="P68" s="21">
        <f ca="1">OFFSET(S!$A$16,MATCH($C$2,S!$C$11:$C$47348,0),66)</f>
        <v>11394</v>
      </c>
      <c r="Q68" s="21">
        <f ca="1">OFFSET(S!$A$17,MATCH($C$2,S!$C$11:$C$47348,0),66)</f>
        <v>11332</v>
      </c>
      <c r="R68" s="21">
        <f ca="1">OFFSET(S!$A$18,MATCH($C$2,S!$C$11:$C$47348,0),66)</f>
        <v>15515</v>
      </c>
      <c r="S68" s="3"/>
      <c r="T68" s="3"/>
      <c r="U68" s="3"/>
      <c r="V68" s="3"/>
      <c r="W68" s="3"/>
      <c r="X68" s="4"/>
      <c r="Y68" s="4"/>
      <c r="Z68" s="4"/>
      <c r="AA68" s="102"/>
      <c r="AB68" s="102"/>
      <c r="AC68" s="102"/>
      <c r="AD68" s="102"/>
      <c r="AE68" s="102"/>
      <c r="AF68" s="102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</row>
    <row r="69" spans="1:43">
      <c r="A69" s="10" t="s">
        <v>103</v>
      </c>
      <c r="B69" s="19">
        <f ca="1">OFFSET(Y!$A$11,MATCH($C$2,Y!$C$11:$C$48345,0),67)</f>
        <v>19070</v>
      </c>
      <c r="C69" s="19">
        <f ca="1">OFFSET(Y!$A$12,MATCH($C$2,Y!$C$11:$C$48345,0),67)</f>
        <v>24237</v>
      </c>
      <c r="D69" s="19">
        <f ca="1">OFFSET(Y!$A$13,MATCH($C$2,Y!$C$11:$C$48345,0),67)</f>
        <v>18416</v>
      </c>
      <c r="E69" s="19">
        <f ca="1">OFFSET(Y!$A$14,MATCH($C$2,Y!$C$11:$C$48345,0),67)</f>
        <v>17243</v>
      </c>
      <c r="F69" s="19">
        <f ca="1">OFFSET(Y!$A$15,MATCH($C$2,Y!$C$11:$C$48345,0),67)</f>
        <v>19018</v>
      </c>
      <c r="G69" s="19">
        <f ca="1">OFFSET(Y!$A$16,MATCH($C$2,Y!$C$11:$C$48345,0),67)</f>
        <v>14295</v>
      </c>
      <c r="H69" s="19">
        <f ca="1">OFFSET(Y!$A$17,MATCH($C$2,Y!$C$11:$C$48345,0),67)</f>
        <v>15172</v>
      </c>
      <c r="I69" s="19">
        <f ca="1">OFFSET(Y!$A$18,MATCH($C$2,Y!$C$11:$C$48345,0),67)</f>
        <v>12617</v>
      </c>
      <c r="J69" s="36" t="s">
        <v>103</v>
      </c>
      <c r="K69" s="20">
        <f ca="1">OFFSET(S!$A$11,MATCH($C$2,S!$C$11:$C$47348,0),67)</f>
        <v>17611</v>
      </c>
      <c r="L69" s="20">
        <f ca="1">OFFSET(S!$A$12,MATCH($C$2,S!$C$11:$C$47348,0),67)</f>
        <v>19355</v>
      </c>
      <c r="M69" s="20">
        <f ca="1">OFFSET(S!$A$13,MATCH($C$2,S!$C$11:$C$47348,0),67)</f>
        <v>18736</v>
      </c>
      <c r="N69" s="20">
        <f ca="1">OFFSET(S!$A$14,MATCH($C$2,S!$C$11:$C$47348,0),67)</f>
        <v>19070</v>
      </c>
      <c r="O69" s="20">
        <f ca="1">OFFSET(S!$A$15,MATCH($C$2,S!$C$11:$C$47348,0),67)</f>
        <v>23176</v>
      </c>
      <c r="P69" s="20">
        <f ca="1">OFFSET(S!$A$16,MATCH($C$2,S!$C$11:$C$47348,0),67)</f>
        <v>23817</v>
      </c>
      <c r="Q69" s="20">
        <f ca="1">OFFSET(S!$A$17,MATCH($C$2,S!$C$11:$C$47348,0),67)</f>
        <v>19286</v>
      </c>
      <c r="R69" s="20">
        <f ca="1">OFFSET(S!$A$18,MATCH($C$2,S!$C$11:$C$47348,0),67)</f>
        <v>24237</v>
      </c>
      <c r="S69" s="3"/>
      <c r="T69" s="3"/>
      <c r="U69" s="3"/>
      <c r="V69" s="3"/>
      <c r="W69" s="3"/>
      <c r="X69" s="4"/>
      <c r="Y69" s="4"/>
      <c r="Z69" s="4"/>
      <c r="AA69" s="102"/>
      <c r="AB69" s="102"/>
      <c r="AC69" s="102"/>
      <c r="AD69" s="102"/>
      <c r="AE69" s="102"/>
      <c r="AF69" s="102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</row>
    <row r="70" spans="1:43">
      <c r="A70" s="7" t="s">
        <v>104</v>
      </c>
      <c r="B70" s="21">
        <f ca="1">OFFSET(Y!$A$11,MATCH($C$2,Y!$C$11:$C$48345,0),68)</f>
        <v>761408</v>
      </c>
      <c r="C70" s="21">
        <f ca="1">OFFSET(Y!$A$12,MATCH($C$2,Y!$C$11:$C$48345,0),68)</f>
        <v>701240</v>
      </c>
      <c r="D70" s="21">
        <f ca="1">OFFSET(Y!$A$13,MATCH($C$2,Y!$C$11:$C$48345,0),68)</f>
        <v>577427</v>
      </c>
      <c r="E70" s="21">
        <f ca="1">OFFSET(Y!$A$14,MATCH($C$2,Y!$C$11:$C$48345,0),68)</f>
        <v>540559</v>
      </c>
      <c r="F70" s="21">
        <f ca="1">OFFSET(Y!$A$15,MATCH($C$2,Y!$C$11:$C$48345,0),68)</f>
        <v>551773</v>
      </c>
      <c r="G70" s="21">
        <f ca="1">OFFSET(Y!$A$16,MATCH($C$2,Y!$C$11:$C$48345,0),68)</f>
        <v>573585</v>
      </c>
      <c r="H70" s="21">
        <f ca="1">OFFSET(Y!$A$17,MATCH($C$2,Y!$C$11:$C$48345,0),68)</f>
        <v>507540</v>
      </c>
      <c r="I70" s="21">
        <f ca="1">OFFSET(Y!$A$18,MATCH($C$2,Y!$C$11:$C$48345,0),68)</f>
        <v>487553</v>
      </c>
      <c r="J70" s="7" t="s">
        <v>104</v>
      </c>
      <c r="K70" s="21">
        <f ca="1">OFFSET(S!$A$11,MATCH($C$2,S!$C$11:$C$47348,0),68)</f>
        <v>870043</v>
      </c>
      <c r="L70" s="21">
        <f ca="1">OFFSET(S!$A$12,MATCH($C$2,S!$C$11:$C$47348,0),68)</f>
        <v>873361</v>
      </c>
      <c r="M70" s="21">
        <f ca="1">OFFSET(S!$A$13,MATCH($C$2,S!$C$11:$C$47348,0),68)</f>
        <v>821137</v>
      </c>
      <c r="N70" s="21">
        <f ca="1">OFFSET(S!$A$14,MATCH($C$2,S!$C$11:$C$47348,0),68)</f>
        <v>761408</v>
      </c>
      <c r="O70" s="21">
        <f ca="1">OFFSET(S!$A$15,MATCH($C$2,S!$C$11:$C$47348,0),68)</f>
        <v>729285</v>
      </c>
      <c r="P70" s="21">
        <f ca="1">OFFSET(S!$A$16,MATCH($C$2,S!$C$11:$C$47348,0),68)</f>
        <v>765873</v>
      </c>
      <c r="Q70" s="21">
        <f ca="1">OFFSET(S!$A$17,MATCH($C$2,S!$C$11:$C$47348,0),68)</f>
        <v>731498</v>
      </c>
      <c r="R70" s="21">
        <f ca="1">OFFSET(S!$A$18,MATCH($C$2,S!$C$11:$C$47348,0),68)</f>
        <v>701240</v>
      </c>
      <c r="S70" s="3"/>
      <c r="T70" s="3"/>
      <c r="U70" s="3"/>
      <c r="V70" s="3"/>
      <c r="W70" s="3"/>
      <c r="X70" s="4"/>
      <c r="Y70" s="4"/>
      <c r="Z70" s="4"/>
      <c r="AA70" s="102"/>
      <c r="AB70" s="102"/>
      <c r="AC70" s="102"/>
      <c r="AD70" s="102"/>
      <c r="AE70" s="102"/>
      <c r="AF70" s="102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</row>
    <row r="71" spans="1:43">
      <c r="A71" s="10" t="s">
        <v>105</v>
      </c>
      <c r="B71" s="19">
        <f ca="1">OFFSET(Y!$A$11,MATCH($C$2,Y!$C$11:$C$48345,0),69)</f>
        <v>25927</v>
      </c>
      <c r="C71" s="19">
        <f ca="1">OFFSET(Y!$A$12,MATCH($C$2,Y!$C$11:$C$48345,0),69)</f>
        <v>30909</v>
      </c>
      <c r="D71" s="19">
        <f ca="1">OFFSET(Y!$A$13,MATCH($C$2,Y!$C$11:$C$48345,0),69)</f>
        <v>0</v>
      </c>
      <c r="E71" s="19">
        <f ca="1">OFFSET(Y!$A$14,MATCH($C$2,Y!$C$11:$C$48345,0),69)</f>
        <v>0</v>
      </c>
      <c r="F71" s="19">
        <f ca="1">OFFSET(Y!$A$15,MATCH($C$2,Y!$C$11:$C$48345,0),69)</f>
        <v>0</v>
      </c>
      <c r="G71" s="19">
        <f ca="1">OFFSET(Y!$A$16,MATCH($C$2,Y!$C$11:$C$48345,0),69)</f>
        <v>0</v>
      </c>
      <c r="H71" s="19">
        <f ca="1">OFFSET(Y!$A$17,MATCH($C$2,Y!$C$11:$C$48345,0),69)</f>
        <v>0</v>
      </c>
      <c r="I71" s="19">
        <f ca="1">OFFSET(Y!$A$18,MATCH($C$2,Y!$C$11:$C$48345,0),69)</f>
        <v>0</v>
      </c>
      <c r="J71" s="36" t="s">
        <v>105</v>
      </c>
      <c r="K71" s="20">
        <f ca="1">OFFSET(S!$A$11,MATCH($C$2,S!$C$11:$C$47348,0),69)</f>
        <v>29750</v>
      </c>
      <c r="L71" s="20">
        <f ca="1">OFFSET(S!$A$12,MATCH($C$2,S!$C$11:$C$47348,0),69)</f>
        <v>30773</v>
      </c>
      <c r="M71" s="20">
        <f ca="1">OFFSET(S!$A$13,MATCH($C$2,S!$C$11:$C$47348,0),69)</f>
        <v>34688</v>
      </c>
      <c r="N71" s="20">
        <f ca="1">OFFSET(S!$A$14,MATCH($C$2,S!$C$11:$C$47348,0),69)</f>
        <v>25927</v>
      </c>
      <c r="O71" s="20">
        <f ca="1">OFFSET(S!$A$15,MATCH($C$2,S!$C$11:$C$47348,0),69)</f>
        <v>46714</v>
      </c>
      <c r="P71" s="20">
        <f ca="1">OFFSET(S!$A$16,MATCH($C$2,S!$C$11:$C$47348,0),69)</f>
        <v>33141</v>
      </c>
      <c r="Q71" s="20">
        <f ca="1">OFFSET(S!$A$17,MATCH($C$2,S!$C$11:$C$47348,0),69)</f>
        <v>34176</v>
      </c>
      <c r="R71" s="20">
        <f ca="1">OFFSET(S!$A$18,MATCH($C$2,S!$C$11:$C$47348,0),69)</f>
        <v>30909</v>
      </c>
      <c r="S71" s="3"/>
      <c r="T71" s="3"/>
      <c r="U71" s="3"/>
      <c r="V71" s="3"/>
      <c r="W71" s="3"/>
      <c r="X71" s="4"/>
      <c r="Y71" s="4"/>
      <c r="Z71" s="4"/>
      <c r="AA71" s="102"/>
      <c r="AB71" s="102"/>
      <c r="AC71" s="102"/>
      <c r="AD71" s="102"/>
      <c r="AE71" s="102"/>
      <c r="AF71" s="102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</row>
    <row r="72" spans="1:43">
      <c r="A72" s="7" t="s">
        <v>106</v>
      </c>
      <c r="B72" s="21">
        <f ca="1">OFFSET(Y!$A$11,MATCH($C$2,Y!$C$11:$C$48345,0),70)</f>
        <v>0</v>
      </c>
      <c r="C72" s="21">
        <f ca="1">OFFSET(Y!$A$12,MATCH($C$2,Y!$C$11:$C$48345,0),70)</f>
        <v>0</v>
      </c>
      <c r="D72" s="21">
        <f ca="1">OFFSET(Y!$A$13,MATCH($C$2,Y!$C$11:$C$48345,0),70)</f>
        <v>0</v>
      </c>
      <c r="E72" s="21">
        <f ca="1">OFFSET(Y!$A$14,MATCH($C$2,Y!$C$11:$C$48345,0),70)</f>
        <v>0</v>
      </c>
      <c r="F72" s="21">
        <f ca="1">OFFSET(Y!$A$15,MATCH($C$2,Y!$C$11:$C$48345,0),70)</f>
        <v>0</v>
      </c>
      <c r="G72" s="21">
        <f ca="1">OFFSET(Y!$A$16,MATCH($C$2,Y!$C$11:$C$48345,0),70)</f>
        <v>0</v>
      </c>
      <c r="H72" s="21">
        <f ca="1">OFFSET(Y!$A$17,MATCH($C$2,Y!$C$11:$C$48345,0),70)</f>
        <v>0</v>
      </c>
      <c r="I72" s="21">
        <f ca="1">OFFSET(Y!$A$18,MATCH($C$2,Y!$C$11:$C$48345,0),70)</f>
        <v>0</v>
      </c>
      <c r="J72" s="7" t="s">
        <v>106</v>
      </c>
      <c r="K72" s="21">
        <f ca="1">OFFSET(S!$A$11,MATCH($C$2,S!$C$11:$C$47348,0),70)</f>
        <v>0</v>
      </c>
      <c r="L72" s="21">
        <f ca="1">OFFSET(S!$A$12,MATCH($C$2,S!$C$11:$C$47348,0),70)</f>
        <v>0</v>
      </c>
      <c r="M72" s="21">
        <f ca="1">OFFSET(S!$A$13,MATCH($C$2,S!$C$11:$C$47348,0),70)</f>
        <v>0</v>
      </c>
      <c r="N72" s="21">
        <f ca="1">OFFSET(S!$A$14,MATCH($C$2,S!$C$11:$C$47348,0),70)</f>
        <v>0</v>
      </c>
      <c r="O72" s="21">
        <f ca="1">OFFSET(S!$A$15,MATCH($C$2,S!$C$11:$C$47348,0),70)</f>
        <v>0</v>
      </c>
      <c r="P72" s="21">
        <f ca="1">OFFSET(S!$A$16,MATCH($C$2,S!$C$11:$C$47348,0),70)</f>
        <v>0</v>
      </c>
      <c r="Q72" s="21">
        <f ca="1">OFFSET(S!$A$17,MATCH($C$2,S!$C$11:$C$47348,0),70)</f>
        <v>0</v>
      </c>
      <c r="R72" s="21">
        <f ca="1">OFFSET(S!$A$18,MATCH($C$2,S!$C$11:$C$47348,0),70)</f>
        <v>0</v>
      </c>
      <c r="S72" s="3"/>
      <c r="T72" s="3"/>
      <c r="U72" s="3"/>
      <c r="V72" s="3"/>
      <c r="W72" s="3"/>
      <c r="X72" s="4"/>
      <c r="Y72" s="4"/>
      <c r="Z72" s="4"/>
      <c r="AA72" s="102"/>
      <c r="AB72" s="102"/>
      <c r="AC72" s="102"/>
      <c r="AD72" s="102"/>
      <c r="AE72" s="102"/>
      <c r="AF72" s="102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</row>
    <row r="73" spans="1:43">
      <c r="A73" s="10" t="s">
        <v>107</v>
      </c>
      <c r="B73" s="19">
        <f ca="1">OFFSET(Y!$A$11,MATCH($C$2,Y!$C$11:$C$48345,0),71)</f>
        <v>12515</v>
      </c>
      <c r="C73" s="19">
        <f ca="1">OFFSET(Y!$A$12,MATCH($C$2,Y!$C$11:$C$48345,0),71)</f>
        <v>13134</v>
      </c>
      <c r="D73" s="19">
        <f ca="1">OFFSET(Y!$A$13,MATCH($C$2,Y!$C$11:$C$48345,0),71)</f>
        <v>11718</v>
      </c>
      <c r="E73" s="19">
        <f ca="1">OFFSET(Y!$A$14,MATCH($C$2,Y!$C$11:$C$48345,0),71)</f>
        <v>5517</v>
      </c>
      <c r="F73" s="19">
        <f ca="1">OFFSET(Y!$A$15,MATCH($C$2,Y!$C$11:$C$48345,0),71)</f>
        <v>12485</v>
      </c>
      <c r="G73" s="19">
        <f ca="1">OFFSET(Y!$A$16,MATCH($C$2,Y!$C$11:$C$48345,0),71)</f>
        <v>9471</v>
      </c>
      <c r="H73" s="19">
        <f ca="1">OFFSET(Y!$A$17,MATCH($C$2,Y!$C$11:$C$48345,0),71)</f>
        <v>11294</v>
      </c>
      <c r="I73" s="19">
        <f ca="1">OFFSET(Y!$A$18,MATCH($C$2,Y!$C$11:$C$48345,0),71)</f>
        <v>9687</v>
      </c>
      <c r="J73" s="36" t="s">
        <v>107</v>
      </c>
      <c r="K73" s="20">
        <f ca="1">OFFSET(S!$A$11,MATCH($C$2,S!$C$11:$C$47348,0),71)</f>
        <v>16114</v>
      </c>
      <c r="L73" s="20">
        <f ca="1">OFFSET(S!$A$12,MATCH($C$2,S!$C$11:$C$47348,0),71)</f>
        <v>16461</v>
      </c>
      <c r="M73" s="20">
        <f ca="1">OFFSET(S!$A$13,MATCH($C$2,S!$C$11:$C$47348,0),71)</f>
        <v>15027</v>
      </c>
      <c r="N73" s="20">
        <f ca="1">OFFSET(S!$A$14,MATCH($C$2,S!$C$11:$C$47348,0),71)</f>
        <v>12515</v>
      </c>
      <c r="O73" s="20">
        <f ca="1">OFFSET(S!$A$15,MATCH($C$2,S!$C$11:$C$47348,0),71)</f>
        <v>11265</v>
      </c>
      <c r="P73" s="20">
        <f ca="1">OFFSET(S!$A$16,MATCH($C$2,S!$C$11:$C$47348,0),71)</f>
        <v>13524</v>
      </c>
      <c r="Q73" s="20">
        <f ca="1">OFFSET(S!$A$17,MATCH($C$2,S!$C$11:$C$47348,0),71)</f>
        <v>13400</v>
      </c>
      <c r="R73" s="20">
        <f ca="1">OFFSET(S!$A$18,MATCH($C$2,S!$C$11:$C$47348,0),71)</f>
        <v>13134</v>
      </c>
      <c r="S73" s="3"/>
      <c r="T73" s="3"/>
      <c r="U73" s="3"/>
      <c r="V73" s="3"/>
      <c r="W73" s="3"/>
      <c r="X73" s="4"/>
      <c r="Y73" s="4"/>
      <c r="Z73" s="4"/>
      <c r="AA73" s="102"/>
      <c r="AB73" s="102"/>
      <c r="AC73" s="102"/>
      <c r="AD73" s="102"/>
      <c r="AE73" s="102"/>
      <c r="AF73" s="102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</row>
    <row r="74" spans="1:43">
      <c r="A74" s="7" t="s">
        <v>108</v>
      </c>
      <c r="B74" s="21">
        <f ca="1">OFFSET(Y!$A$11,MATCH($C$2,Y!$C$11:$C$48345,0),72)</f>
        <v>16732</v>
      </c>
      <c r="C74" s="21">
        <f ca="1">OFFSET(Y!$A$12,MATCH($C$2,Y!$C$11:$C$48345,0),72)</f>
        <v>18655</v>
      </c>
      <c r="D74" s="21">
        <f ca="1">OFFSET(Y!$A$13,MATCH($C$2,Y!$C$11:$C$48345,0),72)</f>
        <v>21298</v>
      </c>
      <c r="E74" s="21">
        <f ca="1">OFFSET(Y!$A$14,MATCH($C$2,Y!$C$11:$C$48345,0),72)</f>
        <v>21675</v>
      </c>
      <c r="F74" s="21">
        <f ca="1">OFFSET(Y!$A$15,MATCH($C$2,Y!$C$11:$C$48345,0),72)</f>
        <v>2059</v>
      </c>
      <c r="G74" s="21">
        <f ca="1">OFFSET(Y!$A$16,MATCH($C$2,Y!$C$11:$C$48345,0),72)</f>
        <v>4088</v>
      </c>
      <c r="H74" s="21">
        <f ca="1">OFFSET(Y!$A$17,MATCH($C$2,Y!$C$11:$C$48345,0),72)</f>
        <v>5375</v>
      </c>
      <c r="I74" s="21">
        <f ca="1">OFFSET(Y!$A$18,MATCH($C$2,Y!$C$11:$C$48345,0),72)</f>
        <v>5365</v>
      </c>
      <c r="J74" s="7" t="s">
        <v>108</v>
      </c>
      <c r="K74" s="21">
        <f ca="1">OFFSET(S!$A$11,MATCH($C$2,S!$C$11:$C$47348,0),72)</f>
        <v>27022</v>
      </c>
      <c r="L74" s="21">
        <f ca="1">OFFSET(S!$A$12,MATCH($C$2,S!$C$11:$C$47348,0),72)</f>
        <v>21173</v>
      </c>
      <c r="M74" s="21">
        <f ca="1">OFFSET(S!$A$13,MATCH($C$2,S!$C$11:$C$47348,0),72)</f>
        <v>11307</v>
      </c>
      <c r="N74" s="21">
        <f ca="1">OFFSET(S!$A$14,MATCH($C$2,S!$C$11:$C$47348,0),72)</f>
        <v>16732</v>
      </c>
      <c r="O74" s="21">
        <f ca="1">OFFSET(S!$A$15,MATCH($C$2,S!$C$11:$C$47348,0),72)</f>
        <v>18146</v>
      </c>
      <c r="P74" s="21">
        <f ca="1">OFFSET(S!$A$16,MATCH($C$2,S!$C$11:$C$47348,0),72)</f>
        <v>22323</v>
      </c>
      <c r="Q74" s="21">
        <f ca="1">OFFSET(S!$A$17,MATCH($C$2,S!$C$11:$C$47348,0),72)</f>
        <v>13416</v>
      </c>
      <c r="R74" s="21">
        <f ca="1">OFFSET(S!$A$18,MATCH($C$2,S!$C$11:$C$47348,0),72)</f>
        <v>18655</v>
      </c>
      <c r="S74" s="3"/>
      <c r="T74" s="3"/>
      <c r="U74" s="3"/>
      <c r="V74" s="3"/>
      <c r="W74" s="3"/>
      <c r="X74" s="4"/>
      <c r="Y74" s="4"/>
      <c r="Z74" s="4"/>
      <c r="AA74" s="102"/>
      <c r="AB74" s="102"/>
      <c r="AC74" s="102"/>
      <c r="AD74" s="102"/>
      <c r="AE74" s="102"/>
      <c r="AF74" s="102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</row>
    <row r="75" spans="1:43">
      <c r="A75" s="10" t="s">
        <v>109</v>
      </c>
      <c r="B75" s="19">
        <f ca="1">OFFSET(Y!$A$11,MATCH($C$2,Y!$C$11:$C$48345,0),73)</f>
        <v>939</v>
      </c>
      <c r="C75" s="19">
        <f ca="1">OFFSET(Y!$A$12,MATCH($C$2,Y!$C$11:$C$48345,0),73)</f>
        <v>1059</v>
      </c>
      <c r="D75" s="19">
        <f ca="1">OFFSET(Y!$A$13,MATCH($C$2,Y!$C$11:$C$48345,0),73)</f>
        <v>1268</v>
      </c>
      <c r="E75" s="19">
        <f ca="1">OFFSET(Y!$A$14,MATCH($C$2,Y!$C$11:$C$48345,0),73)</f>
        <v>0</v>
      </c>
      <c r="F75" s="19">
        <f ca="1">OFFSET(Y!$A$15,MATCH($C$2,Y!$C$11:$C$48345,0),73)</f>
        <v>0</v>
      </c>
      <c r="G75" s="19">
        <f ca="1">OFFSET(Y!$A$16,MATCH($C$2,Y!$C$11:$C$48345,0),73)</f>
        <v>625</v>
      </c>
      <c r="H75" s="19">
        <f ca="1">OFFSET(Y!$A$17,MATCH($C$2,Y!$C$11:$C$48345,0),73)</f>
        <v>0</v>
      </c>
      <c r="I75" s="19">
        <f ca="1">OFFSET(Y!$A$18,MATCH($C$2,Y!$C$11:$C$48345,0),73)</f>
        <v>0</v>
      </c>
      <c r="J75" s="12" t="s">
        <v>109</v>
      </c>
      <c r="K75" s="20">
        <f ca="1">OFFSET(S!$A$11,MATCH($C$2,S!$C$11:$C$47348,0),73)</f>
        <v>0</v>
      </c>
      <c r="L75" s="20">
        <f ca="1">OFFSET(S!$A$12,MATCH($C$2,S!$C$11:$C$47348,0),73)</f>
        <v>1967</v>
      </c>
      <c r="M75" s="20">
        <f ca="1">OFFSET(S!$A$13,MATCH($C$2,S!$C$11:$C$47348,0),73)</f>
        <v>0</v>
      </c>
      <c r="N75" s="20">
        <f ca="1">OFFSET(S!$A$14,MATCH($C$2,S!$C$11:$C$47348,0),73)</f>
        <v>939</v>
      </c>
      <c r="O75" s="20">
        <f ca="1">OFFSET(S!$A$15,MATCH($C$2,S!$C$11:$C$47348,0),73)</f>
        <v>0</v>
      </c>
      <c r="P75" s="20">
        <f ca="1">OFFSET(S!$A$16,MATCH($C$2,S!$C$11:$C$47348,0),73)</f>
        <v>627</v>
      </c>
      <c r="Q75" s="20">
        <f ca="1">OFFSET(S!$A$17,MATCH($C$2,S!$C$11:$C$47348,0),73)</f>
        <v>0</v>
      </c>
      <c r="R75" s="20">
        <f ca="1">OFFSET(S!$A$18,MATCH($C$2,S!$C$11:$C$47348,0),73)</f>
        <v>1059</v>
      </c>
      <c r="S75" s="3"/>
      <c r="T75" s="3"/>
      <c r="U75" s="3"/>
      <c r="V75" s="3"/>
      <c r="W75" s="3"/>
      <c r="X75" s="4"/>
      <c r="Y75" s="4"/>
      <c r="Z75" s="4"/>
      <c r="AA75" s="102"/>
      <c r="AB75" s="102"/>
      <c r="AC75" s="102"/>
      <c r="AD75" s="102"/>
      <c r="AE75" s="102"/>
      <c r="AF75" s="102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</row>
    <row r="76" spans="1:43">
      <c r="A76" s="7" t="s">
        <v>110</v>
      </c>
      <c r="B76" s="21">
        <f ca="1">OFFSET(Y!$A$11,MATCH($C$2,Y!$C$11:$C$48345,0),74)</f>
        <v>33812</v>
      </c>
      <c r="C76" s="21">
        <f ca="1">OFFSET(Y!$A$12,MATCH($C$2,Y!$C$11:$C$48345,0),74)</f>
        <v>41992</v>
      </c>
      <c r="D76" s="21">
        <f ca="1">OFFSET(Y!$A$13,MATCH($C$2,Y!$C$11:$C$48345,0),74)</f>
        <v>28757</v>
      </c>
      <c r="E76" s="21">
        <f ca="1">OFFSET(Y!$A$14,MATCH($C$2,Y!$C$11:$C$48345,0),74)</f>
        <v>7575</v>
      </c>
      <c r="F76" s="21">
        <f ca="1">OFFSET(Y!$A$15,MATCH($C$2,Y!$C$11:$C$48345,0),74)</f>
        <v>5390</v>
      </c>
      <c r="G76" s="21">
        <f ca="1">OFFSET(Y!$A$16,MATCH($C$2,Y!$C$11:$C$48345,0),74)</f>
        <v>10670</v>
      </c>
      <c r="H76" s="21">
        <f ca="1">OFFSET(Y!$A$17,MATCH($C$2,Y!$C$11:$C$48345,0),74)</f>
        <v>8859</v>
      </c>
      <c r="I76" s="21">
        <f ca="1">OFFSET(Y!$A$18,MATCH($C$2,Y!$C$11:$C$48345,0),74)</f>
        <v>31154</v>
      </c>
      <c r="J76" s="7" t="s">
        <v>110</v>
      </c>
      <c r="K76" s="21">
        <f ca="1">OFFSET(S!$A$11,MATCH($C$2,S!$C$11:$C$47348,0),74)</f>
        <v>32004</v>
      </c>
      <c r="L76" s="21">
        <f ca="1">OFFSET(S!$A$12,MATCH($C$2,S!$C$11:$C$47348,0),74)</f>
        <v>121698</v>
      </c>
      <c r="M76" s="21">
        <f ca="1">OFFSET(S!$A$13,MATCH($C$2,S!$C$11:$C$47348,0),74)</f>
        <v>33213</v>
      </c>
      <c r="N76" s="21">
        <f ca="1">OFFSET(S!$A$14,MATCH($C$2,S!$C$11:$C$47348,0),74)</f>
        <v>33812</v>
      </c>
      <c r="O76" s="21">
        <f ca="1">OFFSET(S!$A$15,MATCH($C$2,S!$C$11:$C$47348,0),74)</f>
        <v>19036</v>
      </c>
      <c r="P76" s="21">
        <f ca="1">OFFSET(S!$A$16,MATCH($C$2,S!$C$11:$C$47348,0),74)</f>
        <v>112672</v>
      </c>
      <c r="Q76" s="21">
        <f ca="1">OFFSET(S!$A$17,MATCH($C$2,S!$C$11:$C$47348,0),74)</f>
        <v>32411</v>
      </c>
      <c r="R76" s="21">
        <f ca="1">OFFSET(S!$A$18,MATCH($C$2,S!$C$11:$C$47348,0),74)</f>
        <v>41992</v>
      </c>
      <c r="S76" s="3"/>
      <c r="T76" s="3"/>
      <c r="U76" s="3"/>
      <c r="V76" s="3"/>
      <c r="W76" s="3"/>
      <c r="X76" s="4"/>
      <c r="Y76" s="4"/>
      <c r="Z76" s="4"/>
      <c r="AA76" s="102"/>
      <c r="AB76" s="102"/>
      <c r="AC76" s="102"/>
      <c r="AD76" s="102"/>
      <c r="AE76" s="102"/>
      <c r="AF76" s="102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</row>
    <row r="77" spans="1:43">
      <c r="A77" s="10" t="s">
        <v>111</v>
      </c>
      <c r="B77" s="19">
        <f ca="1">OFFSET(Y!$A$11,MATCH($C$2,Y!$C$11:$C$48345,0),75)</f>
        <v>10648</v>
      </c>
      <c r="C77" s="19">
        <f ca="1">OFFSET(Y!$A$12,MATCH($C$2,Y!$C$11:$C$48345,0),75)</f>
        <v>7109</v>
      </c>
      <c r="D77" s="19">
        <f ca="1">OFFSET(Y!$A$13,MATCH($C$2,Y!$C$11:$C$48345,0),75)</f>
        <v>8761</v>
      </c>
      <c r="E77" s="19">
        <f ca="1">OFFSET(Y!$A$14,MATCH($C$2,Y!$C$11:$C$48345,0),75)</f>
        <v>9223</v>
      </c>
      <c r="F77" s="19">
        <f ca="1">OFFSET(Y!$A$15,MATCH($C$2,Y!$C$11:$C$48345,0),75)</f>
        <v>10978</v>
      </c>
      <c r="G77" s="19">
        <f ca="1">OFFSET(Y!$A$16,MATCH($C$2,Y!$C$11:$C$48345,0),75)</f>
        <v>7850</v>
      </c>
      <c r="H77" s="19">
        <f ca="1">OFFSET(Y!$A$17,MATCH($C$2,Y!$C$11:$C$48345,0),75)</f>
        <v>3816</v>
      </c>
      <c r="I77" s="19">
        <f ca="1">OFFSET(Y!$A$18,MATCH($C$2,Y!$C$11:$C$48345,0),75)</f>
        <v>0</v>
      </c>
      <c r="J77" s="36" t="s">
        <v>111</v>
      </c>
      <c r="K77" s="20">
        <f ca="1">OFFSET(S!$A$11,MATCH($C$2,S!$C$11:$C$47348,0),75)</f>
        <v>10821</v>
      </c>
      <c r="L77" s="20">
        <f ca="1">OFFSET(S!$A$12,MATCH($C$2,S!$C$11:$C$47348,0),75)</f>
        <v>6779</v>
      </c>
      <c r="M77" s="20">
        <f ca="1">OFFSET(S!$A$13,MATCH($C$2,S!$C$11:$C$47348,0),75)</f>
        <v>13415</v>
      </c>
      <c r="N77" s="20">
        <f ca="1">OFFSET(S!$A$14,MATCH($C$2,S!$C$11:$C$47348,0),75)</f>
        <v>10648</v>
      </c>
      <c r="O77" s="20">
        <f ca="1">OFFSET(S!$A$15,MATCH($C$2,S!$C$11:$C$47348,0),75)</f>
        <v>7680</v>
      </c>
      <c r="P77" s="20">
        <f ca="1">OFFSET(S!$A$16,MATCH($C$2,S!$C$11:$C$47348,0),75)</f>
        <v>6076</v>
      </c>
      <c r="Q77" s="20">
        <f ca="1">OFFSET(S!$A$17,MATCH($C$2,S!$C$11:$C$47348,0),75)</f>
        <v>9703</v>
      </c>
      <c r="R77" s="20">
        <f ca="1">OFFSET(S!$A$18,MATCH($C$2,S!$C$11:$C$47348,0),75)</f>
        <v>7109</v>
      </c>
      <c r="S77" s="3"/>
      <c r="T77" s="3"/>
      <c r="U77" s="3"/>
      <c r="V77" s="3"/>
      <c r="W77" s="3"/>
      <c r="X77" s="4"/>
      <c r="Y77" s="4"/>
      <c r="Z77" s="4"/>
      <c r="AA77" s="102"/>
      <c r="AB77" s="102"/>
      <c r="AC77" s="102"/>
      <c r="AD77" s="102"/>
      <c r="AE77" s="102"/>
      <c r="AF77" s="102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</row>
    <row r="78" spans="1:43">
      <c r="A78" s="7" t="s">
        <v>112</v>
      </c>
      <c r="B78" s="21">
        <f ca="1">OFFSET(Y!$A$11,MATCH($C$2,Y!$C$11:$C$48345,0),76)</f>
        <v>4500</v>
      </c>
      <c r="C78" s="21">
        <f ca="1">OFFSET(Y!$A$12,MATCH($C$2,Y!$C$11:$C$48345,0),76)</f>
        <v>719</v>
      </c>
      <c r="D78" s="21">
        <f ca="1">OFFSET(Y!$A$13,MATCH($C$2,Y!$C$11:$C$48345,0),76)</f>
        <v>769</v>
      </c>
      <c r="E78" s="21">
        <f ca="1">OFFSET(Y!$A$14,MATCH($C$2,Y!$C$11:$C$48345,0),76)</f>
        <v>9026</v>
      </c>
      <c r="F78" s="21">
        <f ca="1">OFFSET(Y!$A$15,MATCH($C$2,Y!$C$11:$C$48345,0),76)</f>
        <v>3673</v>
      </c>
      <c r="G78" s="21">
        <f ca="1">OFFSET(Y!$A$16,MATCH($C$2,Y!$C$11:$C$48345,0),76)</f>
        <v>7618</v>
      </c>
      <c r="H78" s="21">
        <f ca="1">OFFSET(Y!$A$17,MATCH($C$2,Y!$C$11:$C$48345,0),76)</f>
        <v>869</v>
      </c>
      <c r="I78" s="21">
        <f ca="1">OFFSET(Y!$A$18,MATCH($C$2,Y!$C$11:$C$48345,0),76)</f>
        <v>12005</v>
      </c>
      <c r="J78" s="7" t="s">
        <v>112</v>
      </c>
      <c r="K78" s="21">
        <f ca="1">OFFSET(S!$A$11,MATCH($C$2,S!$C$11:$C$47348,0),76)</f>
        <v>0</v>
      </c>
      <c r="L78" s="21">
        <f ca="1">OFFSET(S!$A$12,MATCH($C$2,S!$C$11:$C$47348,0),76)</f>
        <v>0</v>
      </c>
      <c r="M78" s="21">
        <f ca="1">OFFSET(S!$A$13,MATCH($C$2,S!$C$11:$C$47348,0),76)</f>
        <v>0</v>
      </c>
      <c r="N78" s="21">
        <f ca="1">OFFSET(S!$A$14,MATCH($C$2,S!$C$11:$C$47348,0),76)</f>
        <v>4500</v>
      </c>
      <c r="O78" s="21">
        <f ca="1">OFFSET(S!$A$15,MATCH($C$2,S!$C$11:$C$47348,0),76)</f>
        <v>5316</v>
      </c>
      <c r="P78" s="21">
        <f ca="1">OFFSET(S!$A$16,MATCH($C$2,S!$C$11:$C$47348,0),76)</f>
        <v>4500</v>
      </c>
      <c r="Q78" s="21">
        <f ca="1">OFFSET(S!$A$17,MATCH($C$2,S!$C$11:$C$47348,0),76)</f>
        <v>5413</v>
      </c>
      <c r="R78" s="21">
        <f ca="1">OFFSET(S!$A$18,MATCH($C$2,S!$C$11:$C$47348,0),76)</f>
        <v>719</v>
      </c>
      <c r="S78" s="3"/>
      <c r="T78" s="3"/>
      <c r="U78" s="3"/>
      <c r="V78" s="3"/>
      <c r="W78" s="3"/>
      <c r="X78" s="4"/>
      <c r="Y78" s="4"/>
      <c r="Z78" s="4"/>
      <c r="AA78" s="102"/>
      <c r="AB78" s="102"/>
      <c r="AC78" s="102"/>
      <c r="AD78" s="102"/>
      <c r="AE78" s="102"/>
      <c r="AF78" s="102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</row>
    <row r="79" spans="1:43">
      <c r="A79" s="10" t="s">
        <v>113</v>
      </c>
      <c r="B79" s="19">
        <f ca="1">OFFSET(Y!$A$11,MATCH($C$2,Y!$C$11:$C$48345,0),77)</f>
        <v>4442</v>
      </c>
      <c r="C79" s="19">
        <f ca="1">OFFSET(Y!$A$12,MATCH($C$2,Y!$C$11:$C$48345,0),77)</f>
        <v>4446</v>
      </c>
      <c r="D79" s="19">
        <f ca="1">OFFSET(Y!$A$13,MATCH($C$2,Y!$C$11:$C$48345,0),77)</f>
        <v>0</v>
      </c>
      <c r="E79" s="19">
        <f ca="1">OFFSET(Y!$A$14,MATCH($C$2,Y!$C$11:$C$48345,0),77)</f>
        <v>84</v>
      </c>
      <c r="F79" s="19">
        <f ca="1">OFFSET(Y!$A$15,MATCH($C$2,Y!$C$11:$C$48345,0),77)</f>
        <v>9216</v>
      </c>
      <c r="G79" s="19">
        <f ca="1">OFFSET(Y!$A$16,MATCH($C$2,Y!$C$11:$C$48345,0),77)</f>
        <v>2584</v>
      </c>
      <c r="H79" s="19">
        <f ca="1">OFFSET(Y!$A$17,MATCH($C$2,Y!$C$11:$C$48345,0),77)</f>
        <v>1971</v>
      </c>
      <c r="I79" s="19">
        <f ca="1">OFFSET(Y!$A$18,MATCH($C$2,Y!$C$11:$C$48345,0),77)</f>
        <v>2427</v>
      </c>
      <c r="J79" s="36" t="s">
        <v>113</v>
      </c>
      <c r="K79" s="20">
        <f ca="1">OFFSET(S!$A$11,MATCH($C$2,S!$C$11:$C$47348,0),77)</f>
        <v>4</v>
      </c>
      <c r="L79" s="20">
        <f ca="1">OFFSET(S!$A$12,MATCH($C$2,S!$C$11:$C$47348,0),77)</f>
        <v>7857</v>
      </c>
      <c r="M79" s="20">
        <f ca="1">OFFSET(S!$A$13,MATCH($C$2,S!$C$11:$C$47348,0),77)</f>
        <v>13318</v>
      </c>
      <c r="N79" s="20">
        <f ca="1">OFFSET(S!$A$14,MATCH($C$2,S!$C$11:$C$47348,0),77)</f>
        <v>4442</v>
      </c>
      <c r="O79" s="20">
        <f ca="1">OFFSET(S!$A$15,MATCH($C$2,S!$C$11:$C$47348,0),77)</f>
        <v>174</v>
      </c>
      <c r="P79" s="20">
        <f ca="1">OFFSET(S!$A$16,MATCH($C$2,S!$C$11:$C$47348,0),77)</f>
        <v>4696</v>
      </c>
      <c r="Q79" s="20">
        <f ca="1">OFFSET(S!$A$17,MATCH($C$2,S!$C$11:$C$47348,0),77)</f>
        <v>10780</v>
      </c>
      <c r="R79" s="20">
        <f ca="1">OFFSET(S!$A$18,MATCH($C$2,S!$C$11:$C$47348,0),77)</f>
        <v>4446</v>
      </c>
      <c r="S79" s="3"/>
      <c r="T79" s="3"/>
      <c r="U79" s="3"/>
      <c r="V79" s="3"/>
      <c r="W79" s="3"/>
      <c r="X79" s="4"/>
      <c r="Y79" s="4"/>
      <c r="Z79" s="4"/>
      <c r="AA79" s="102"/>
      <c r="AB79" s="102"/>
      <c r="AC79" s="102"/>
      <c r="AD79" s="102"/>
      <c r="AE79" s="102"/>
      <c r="AF79" s="102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</row>
    <row r="80" spans="1:43">
      <c r="A80" s="7" t="s">
        <v>114</v>
      </c>
      <c r="B80" s="21">
        <f ca="1">OFFSET(Y!$A$11,MATCH($C$2,Y!$C$11:$C$48345,0),78)</f>
        <v>109514</v>
      </c>
      <c r="C80" s="21">
        <f ca="1">OFFSET(Y!$A$12,MATCH($C$2,Y!$C$11:$C$48345,0),78)</f>
        <v>118022</v>
      </c>
      <c r="D80" s="21">
        <f ca="1">OFFSET(Y!$A$13,MATCH($C$2,Y!$C$11:$C$48345,0),78)</f>
        <v>72571</v>
      </c>
      <c r="E80" s="21">
        <f ca="1">OFFSET(Y!$A$14,MATCH($C$2,Y!$C$11:$C$48345,0),78)</f>
        <v>53099</v>
      </c>
      <c r="F80" s="21">
        <f ca="1">OFFSET(Y!$A$15,MATCH($C$2,Y!$C$11:$C$48345,0),78)</f>
        <v>43801</v>
      </c>
      <c r="G80" s="21">
        <f ca="1">OFFSET(Y!$A$16,MATCH($C$2,Y!$C$11:$C$48345,0),78)</f>
        <v>42905</v>
      </c>
      <c r="H80" s="21">
        <f ca="1">OFFSET(Y!$A$17,MATCH($C$2,Y!$C$11:$C$48345,0),78)</f>
        <v>32184</v>
      </c>
      <c r="I80" s="21">
        <f ca="1">OFFSET(Y!$A$18,MATCH($C$2,Y!$C$11:$C$48345,0),78)</f>
        <v>60639</v>
      </c>
      <c r="J80" s="7" t="s">
        <v>114</v>
      </c>
      <c r="K80" s="21">
        <f ca="1">OFFSET(S!$A$11,MATCH($C$2,S!$C$11:$C$47348,0),78)</f>
        <v>115714</v>
      </c>
      <c r="L80" s="21">
        <f ca="1">OFFSET(S!$A$12,MATCH($C$2,S!$C$11:$C$47348,0),78)</f>
        <v>206709</v>
      </c>
      <c r="M80" s="21">
        <f ca="1">OFFSET(S!$A$13,MATCH($C$2,S!$C$11:$C$47348,0),78)</f>
        <v>120968</v>
      </c>
      <c r="N80" s="21">
        <f ca="1">OFFSET(S!$A$14,MATCH($C$2,S!$C$11:$C$47348,0),78)</f>
        <v>109514</v>
      </c>
      <c r="O80" s="21">
        <f ca="1">OFFSET(S!$A$15,MATCH($C$2,S!$C$11:$C$47348,0),78)</f>
        <v>108331</v>
      </c>
      <c r="P80" s="21">
        <f ca="1">OFFSET(S!$A$16,MATCH($C$2,S!$C$11:$C$47348,0),78)</f>
        <v>197560</v>
      </c>
      <c r="Q80" s="21">
        <f ca="1">OFFSET(S!$A$17,MATCH($C$2,S!$C$11:$C$47348,0),78)</f>
        <v>119298</v>
      </c>
      <c r="R80" s="21">
        <f ca="1">OFFSET(S!$A$18,MATCH($C$2,S!$C$11:$C$47348,0),78)</f>
        <v>118022</v>
      </c>
      <c r="S80" s="3"/>
      <c r="T80" s="3"/>
      <c r="U80" s="3"/>
      <c r="V80" s="3"/>
      <c r="W80" s="3"/>
      <c r="X80" s="4"/>
      <c r="Y80" s="4"/>
      <c r="Z80" s="4"/>
      <c r="AA80" s="102"/>
      <c r="AB80" s="102"/>
      <c r="AC80" s="102"/>
      <c r="AD80" s="102"/>
      <c r="AE80" s="102"/>
      <c r="AF80" s="102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</row>
    <row r="81" spans="1:43">
      <c r="A81" s="38" t="s">
        <v>115</v>
      </c>
      <c r="B81" s="19">
        <f ca="1">OFFSET(Y!$A$11,MATCH($C$2,Y!$C$11:$C$48345,0),79)</f>
        <v>18000</v>
      </c>
      <c r="C81" s="19">
        <f ca="1">OFFSET(Y!$A$12,MATCH($C$2,Y!$C$11:$C$48345,0),79)</f>
        <v>4500</v>
      </c>
      <c r="D81" s="19">
        <f ca="1">OFFSET(Y!$A$13,MATCH($C$2,Y!$C$11:$C$48345,0),79)</f>
        <v>4916</v>
      </c>
      <c r="E81" s="19">
        <f ca="1">OFFSET(Y!$A$14,MATCH($C$2,Y!$C$11:$C$48345,0),79)</f>
        <v>5431</v>
      </c>
      <c r="F81" s="19">
        <f ca="1">OFFSET(Y!$A$15,MATCH($C$2,Y!$C$11:$C$48345,0),79)</f>
        <v>14001</v>
      </c>
      <c r="G81" s="19">
        <f ca="1">OFFSET(Y!$A$16,MATCH($C$2,Y!$C$11:$C$48345,0),79)</f>
        <v>14175</v>
      </c>
      <c r="H81" s="19">
        <f ca="1">OFFSET(Y!$A$17,MATCH($C$2,Y!$C$11:$C$48345,0),79)</f>
        <v>22112</v>
      </c>
      <c r="I81" s="19">
        <f ca="1">OFFSET(Y!$A$18,MATCH($C$2,Y!$C$11:$C$48345,0),79)</f>
        <v>23753</v>
      </c>
      <c r="J81" s="36" t="s">
        <v>115</v>
      </c>
      <c r="K81" s="20">
        <f ca="1">OFFSET(S!$A$11,MATCH($C$2,S!$C$11:$C$47348,0),79)</f>
        <v>75654</v>
      </c>
      <c r="L81" s="20">
        <f ca="1">OFFSET(S!$A$12,MATCH($C$2,S!$C$11:$C$47348,0),79)</f>
        <v>35054</v>
      </c>
      <c r="M81" s="20">
        <f ca="1">OFFSET(S!$A$13,MATCH($C$2,S!$C$11:$C$47348,0),79)</f>
        <v>35000</v>
      </c>
      <c r="N81" s="20">
        <f ca="1">OFFSET(S!$A$14,MATCH($C$2,S!$C$11:$C$47348,0),79)</f>
        <v>18000</v>
      </c>
      <c r="O81" s="20">
        <f ca="1">OFFSET(S!$A$15,MATCH($C$2,S!$C$11:$C$47348,0),79)</f>
        <v>18000</v>
      </c>
      <c r="P81" s="20">
        <f ca="1">OFFSET(S!$A$16,MATCH($C$2,S!$C$11:$C$47348,0),79)</f>
        <v>0</v>
      </c>
      <c r="Q81" s="20">
        <f ca="1">OFFSET(S!$A$17,MATCH($C$2,S!$C$11:$C$47348,0),79)</f>
        <v>0</v>
      </c>
      <c r="R81" s="20">
        <f ca="1">OFFSET(S!$A$18,MATCH($C$2,S!$C$11:$C$47348,0),79)</f>
        <v>4500</v>
      </c>
      <c r="S81" s="3"/>
      <c r="T81" s="3"/>
      <c r="U81" s="3"/>
      <c r="V81" s="3"/>
      <c r="W81" s="3"/>
      <c r="X81" s="4"/>
      <c r="Y81" s="4"/>
      <c r="Z81" s="4"/>
      <c r="AA81" s="102"/>
      <c r="AB81" s="102"/>
      <c r="AC81" s="102"/>
      <c r="AD81" s="102"/>
      <c r="AE81" s="102"/>
      <c r="AF81" s="102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</row>
    <row r="82" spans="1:43">
      <c r="A82" s="7" t="s">
        <v>116</v>
      </c>
      <c r="B82" s="21">
        <f ca="1">OFFSET(Y!$A$11,MATCH($C$2,Y!$C$11:$C$48345,0),80)</f>
        <v>0</v>
      </c>
      <c r="C82" s="21">
        <f ca="1">OFFSET(Y!$A$12,MATCH($C$2,Y!$C$11:$C$48345,0),80)</f>
        <v>0</v>
      </c>
      <c r="D82" s="21">
        <f ca="1">OFFSET(Y!$A$13,MATCH($C$2,Y!$C$11:$C$48345,0),80)</f>
        <v>48</v>
      </c>
      <c r="E82" s="21">
        <f ca="1">OFFSET(Y!$A$14,MATCH($C$2,Y!$C$11:$C$48345,0),80)</f>
        <v>462</v>
      </c>
      <c r="F82" s="21">
        <f ca="1">OFFSET(Y!$A$15,MATCH($C$2,Y!$C$11:$C$48345,0),80)</f>
        <v>981</v>
      </c>
      <c r="G82" s="21">
        <f ca="1">OFFSET(Y!$A$16,MATCH($C$2,Y!$C$11:$C$48345,0),80)</f>
        <v>1183</v>
      </c>
      <c r="H82" s="21">
        <f ca="1">OFFSET(Y!$A$17,MATCH($C$2,Y!$C$11:$C$48345,0),80)</f>
        <v>1259</v>
      </c>
      <c r="I82" s="21">
        <f ca="1">OFFSET(Y!$A$18,MATCH($C$2,Y!$C$11:$C$48345,0),80)</f>
        <v>683</v>
      </c>
      <c r="J82" s="7" t="s">
        <v>116</v>
      </c>
      <c r="K82" s="21">
        <f ca="1">OFFSET(S!$A$11,MATCH($C$2,S!$C$11:$C$47348,0),80)</f>
        <v>0</v>
      </c>
      <c r="L82" s="21">
        <f ca="1">OFFSET(S!$A$12,MATCH($C$2,S!$C$11:$C$47348,0),80)</f>
        <v>0</v>
      </c>
      <c r="M82" s="21">
        <f ca="1">OFFSET(S!$A$13,MATCH($C$2,S!$C$11:$C$47348,0),80)</f>
        <v>0</v>
      </c>
      <c r="N82" s="21">
        <f ca="1">OFFSET(S!$A$14,MATCH($C$2,S!$C$11:$C$47348,0),80)</f>
        <v>0</v>
      </c>
      <c r="O82" s="21">
        <f ca="1">OFFSET(S!$A$15,MATCH($C$2,S!$C$11:$C$47348,0),80)</f>
        <v>0</v>
      </c>
      <c r="P82" s="21">
        <f ca="1">OFFSET(S!$A$16,MATCH($C$2,S!$C$11:$C$47348,0),80)</f>
        <v>0</v>
      </c>
      <c r="Q82" s="21">
        <f ca="1">OFFSET(S!$A$17,MATCH($C$2,S!$C$11:$C$47348,0),80)</f>
        <v>0</v>
      </c>
      <c r="R82" s="21">
        <f ca="1">OFFSET(S!$A$18,MATCH($C$2,S!$C$11:$C$47348,0),80)</f>
        <v>0</v>
      </c>
      <c r="S82" s="3"/>
      <c r="T82" s="3"/>
      <c r="U82" s="3"/>
      <c r="V82" s="3"/>
      <c r="W82" s="3"/>
      <c r="X82" s="4"/>
      <c r="Y82" s="4"/>
      <c r="Z82" s="4"/>
      <c r="AA82" s="102"/>
      <c r="AB82" s="102"/>
      <c r="AC82" s="102"/>
      <c r="AD82" s="102"/>
      <c r="AE82" s="102"/>
      <c r="AF82" s="102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</row>
    <row r="83" spans="1:43">
      <c r="A83" s="10" t="s">
        <v>117</v>
      </c>
      <c r="B83" s="19">
        <f ca="1">OFFSET(Y!$A$11,MATCH($C$2,Y!$C$11:$C$48345,0),81)</f>
        <v>3861</v>
      </c>
      <c r="C83" s="19">
        <f ca="1">OFFSET(Y!$A$12,MATCH($C$2,Y!$C$11:$C$48345,0),81)</f>
        <v>3825</v>
      </c>
      <c r="D83" s="19">
        <f ca="1">OFFSET(Y!$A$13,MATCH($C$2,Y!$C$11:$C$48345,0),81)</f>
        <v>3807</v>
      </c>
      <c r="E83" s="19">
        <f ca="1">OFFSET(Y!$A$14,MATCH($C$2,Y!$C$11:$C$48345,0),81)</f>
        <v>3710</v>
      </c>
      <c r="F83" s="19">
        <f ca="1">OFFSET(Y!$A$15,MATCH($C$2,Y!$C$11:$C$48345,0),81)</f>
        <v>3658</v>
      </c>
      <c r="G83" s="19">
        <f ca="1">OFFSET(Y!$A$16,MATCH($C$2,Y!$C$11:$C$48345,0),81)</f>
        <v>3530</v>
      </c>
      <c r="H83" s="19">
        <f ca="1">OFFSET(Y!$A$17,MATCH($C$2,Y!$C$11:$C$48345,0),81)</f>
        <v>3461</v>
      </c>
      <c r="I83" s="19">
        <f ca="1">OFFSET(Y!$A$18,MATCH($C$2,Y!$C$11:$C$48345,0),81)</f>
        <v>3101</v>
      </c>
      <c r="J83" s="12" t="s">
        <v>117</v>
      </c>
      <c r="K83" s="20">
        <f ca="1">OFFSET(S!$A$11,MATCH($C$2,S!$C$11:$C$47348,0),81)</f>
        <v>3907</v>
      </c>
      <c r="L83" s="20">
        <f ca="1">OFFSET(S!$A$12,MATCH($C$2,S!$C$11:$C$47348,0),81)</f>
        <v>3883</v>
      </c>
      <c r="M83" s="20">
        <f ca="1">OFFSET(S!$A$13,MATCH($C$2,S!$C$11:$C$47348,0),81)</f>
        <v>3857</v>
      </c>
      <c r="N83" s="20">
        <f ca="1">OFFSET(S!$A$14,MATCH($C$2,S!$C$11:$C$47348,0),81)</f>
        <v>3861</v>
      </c>
      <c r="O83" s="20">
        <f ca="1">OFFSET(S!$A$15,MATCH($C$2,S!$C$11:$C$47348,0),81)</f>
        <v>3831</v>
      </c>
      <c r="P83" s="20">
        <f ca="1">OFFSET(S!$A$16,MATCH($C$2,S!$C$11:$C$47348,0),81)</f>
        <v>3860</v>
      </c>
      <c r="Q83" s="20">
        <f ca="1">OFFSET(S!$A$17,MATCH($C$2,S!$C$11:$C$47348,0),81)</f>
        <v>3830</v>
      </c>
      <c r="R83" s="20">
        <f ca="1">OFFSET(S!$A$18,MATCH($C$2,S!$C$11:$C$47348,0),81)</f>
        <v>3825</v>
      </c>
      <c r="S83" s="3"/>
      <c r="T83" s="3"/>
      <c r="U83" s="3"/>
      <c r="V83" s="3"/>
      <c r="W83" s="3"/>
      <c r="X83" s="4"/>
      <c r="Y83" s="4"/>
      <c r="Z83" s="4"/>
      <c r="AA83" s="102"/>
      <c r="AB83" s="102"/>
      <c r="AC83" s="102"/>
      <c r="AD83" s="102"/>
      <c r="AE83" s="102"/>
      <c r="AF83" s="102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</row>
    <row r="84" spans="1:43">
      <c r="A84" s="7" t="s">
        <v>118</v>
      </c>
      <c r="B84" s="21">
        <f ca="1">OFFSET(Y!$A$11,MATCH($C$2,Y!$C$11:$C$48345,0),82)</f>
        <v>0</v>
      </c>
      <c r="C84" s="21">
        <f ca="1">OFFSET(Y!$A$12,MATCH($C$2,Y!$C$11:$C$48345,0),82)</f>
        <v>0</v>
      </c>
      <c r="D84" s="21">
        <f ca="1">OFFSET(Y!$A$13,MATCH($C$2,Y!$C$11:$C$48345,0),82)</f>
        <v>0</v>
      </c>
      <c r="E84" s="21">
        <f ca="1">OFFSET(Y!$A$14,MATCH($C$2,Y!$C$11:$C$48345,0),82)</f>
        <v>0</v>
      </c>
      <c r="F84" s="21">
        <f ca="1">OFFSET(Y!$A$15,MATCH($C$2,Y!$C$11:$C$48345,0),82)</f>
        <v>0</v>
      </c>
      <c r="G84" s="21">
        <f ca="1">OFFSET(Y!$A$16,MATCH($C$2,Y!$C$11:$C$48345,0),82)</f>
        <v>0</v>
      </c>
      <c r="H84" s="21">
        <f ca="1">OFFSET(Y!$A$17,MATCH($C$2,Y!$C$11:$C$48345,0),82)</f>
        <v>0</v>
      </c>
      <c r="I84" s="21">
        <f ca="1">OFFSET(Y!$A$18,MATCH($C$2,Y!$C$11:$C$48345,0),82)</f>
        <v>0</v>
      </c>
      <c r="J84" s="7" t="s">
        <v>118</v>
      </c>
      <c r="K84" s="21">
        <f ca="1">OFFSET(S!$A$11,MATCH($C$2,S!$C$11:$C$47348,0),82)</f>
        <v>0</v>
      </c>
      <c r="L84" s="21">
        <f ca="1">OFFSET(S!$A$12,MATCH($C$2,S!$C$11:$C$47348,0),82)</f>
        <v>0</v>
      </c>
      <c r="M84" s="21">
        <f ca="1">OFFSET(S!$A$13,MATCH($C$2,S!$C$11:$C$47348,0),82)</f>
        <v>0</v>
      </c>
      <c r="N84" s="21">
        <f ca="1">OFFSET(S!$A$14,MATCH($C$2,S!$C$11:$C$47348,0),82)</f>
        <v>0</v>
      </c>
      <c r="O84" s="21">
        <f ca="1">OFFSET(S!$A$15,MATCH($C$2,S!$C$11:$C$47348,0),82)</f>
        <v>0</v>
      </c>
      <c r="P84" s="21">
        <f ca="1">OFFSET(S!$A$16,MATCH($C$2,S!$C$11:$C$47348,0),82)</f>
        <v>0</v>
      </c>
      <c r="Q84" s="21">
        <f ca="1">OFFSET(S!$A$17,MATCH($C$2,S!$C$11:$C$47348,0),82)</f>
        <v>0</v>
      </c>
      <c r="R84" s="21">
        <f ca="1">OFFSET(S!$A$18,MATCH($C$2,S!$C$11:$C$47348,0),82)</f>
        <v>0</v>
      </c>
      <c r="S84" s="3"/>
      <c r="T84" s="3"/>
      <c r="U84" s="3"/>
      <c r="V84" s="3"/>
      <c r="W84" s="3"/>
      <c r="X84" s="4"/>
      <c r="Y84" s="4"/>
      <c r="Z84" s="4"/>
      <c r="AA84" s="102"/>
      <c r="AB84" s="102"/>
      <c r="AC84" s="102"/>
      <c r="AD84" s="102"/>
      <c r="AE84" s="102"/>
      <c r="AF84" s="102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</row>
    <row r="85" spans="1:43">
      <c r="A85" s="10" t="s">
        <v>119</v>
      </c>
      <c r="B85" s="19">
        <f ca="1">OFFSET(Y!$A$11,MATCH($C$2,Y!$C$11:$C$48345,0),83)</f>
        <v>0</v>
      </c>
      <c r="C85" s="19">
        <f ca="1">OFFSET(Y!$A$12,MATCH($C$2,Y!$C$11:$C$48345,0),83)</f>
        <v>0</v>
      </c>
      <c r="D85" s="19">
        <f ca="1">OFFSET(Y!$A$13,MATCH($C$2,Y!$C$11:$C$48345,0),83)</f>
        <v>0</v>
      </c>
      <c r="E85" s="19">
        <f ca="1">OFFSET(Y!$A$14,MATCH($C$2,Y!$C$11:$C$48345,0),83)</f>
        <v>0</v>
      </c>
      <c r="F85" s="19">
        <f ca="1">OFFSET(Y!$A$15,MATCH($C$2,Y!$C$11:$C$48345,0),83)</f>
        <v>0</v>
      </c>
      <c r="G85" s="19">
        <f ca="1">OFFSET(Y!$A$16,MATCH($C$2,Y!$C$11:$C$48345,0),83)</f>
        <v>0</v>
      </c>
      <c r="H85" s="19">
        <f ca="1">OFFSET(Y!$A$17,MATCH($C$2,Y!$C$11:$C$48345,0),83)</f>
        <v>0</v>
      </c>
      <c r="I85" s="19">
        <f ca="1">OFFSET(Y!$A$18,MATCH($C$2,Y!$C$11:$C$48345,0),83)</f>
        <v>0</v>
      </c>
      <c r="J85" s="36" t="s">
        <v>119</v>
      </c>
      <c r="K85" s="20">
        <f ca="1">OFFSET(S!$A$11,MATCH($C$2,S!$C$11:$C$47348,0),83)</f>
        <v>0</v>
      </c>
      <c r="L85" s="20">
        <f ca="1">OFFSET(S!$A$12,MATCH($C$2,S!$C$11:$C$47348,0),83)</f>
        <v>0</v>
      </c>
      <c r="M85" s="20">
        <f ca="1">OFFSET(S!$A$13,MATCH($C$2,S!$C$11:$C$47348,0),83)</f>
        <v>0</v>
      </c>
      <c r="N85" s="20">
        <f ca="1">OFFSET(S!$A$14,MATCH($C$2,S!$C$11:$C$47348,0),83)</f>
        <v>0</v>
      </c>
      <c r="O85" s="20">
        <f ca="1">OFFSET(S!$A$15,MATCH($C$2,S!$C$11:$C$47348,0),83)</f>
        <v>0</v>
      </c>
      <c r="P85" s="20">
        <f ca="1">OFFSET(S!$A$16,MATCH($C$2,S!$C$11:$C$47348,0),83)</f>
        <v>0</v>
      </c>
      <c r="Q85" s="20">
        <f ca="1">OFFSET(S!$A$17,MATCH($C$2,S!$C$11:$C$47348,0),83)</f>
        <v>0</v>
      </c>
      <c r="R85" s="20">
        <f ca="1">OFFSET(S!$A$18,MATCH($C$2,S!$C$11:$C$47348,0),83)</f>
        <v>0</v>
      </c>
      <c r="S85" s="3"/>
      <c r="T85" s="3"/>
      <c r="U85" s="3"/>
      <c r="V85" s="3"/>
      <c r="W85" s="3"/>
      <c r="X85" s="4"/>
      <c r="Y85" s="4"/>
      <c r="Z85" s="4"/>
      <c r="AA85" s="102"/>
      <c r="AB85" s="102"/>
      <c r="AC85" s="102"/>
      <c r="AD85" s="102"/>
      <c r="AE85" s="102"/>
      <c r="AF85" s="102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</row>
    <row r="86" spans="1:43">
      <c r="A86" s="7" t="s">
        <v>120</v>
      </c>
      <c r="B86" s="21">
        <f ca="1">OFFSET(Y!$A$11,MATCH($C$2,Y!$C$11:$C$48345,0),84)</f>
        <v>0</v>
      </c>
      <c r="C86" s="21">
        <f ca="1">OFFSET(Y!$A$12,MATCH($C$2,Y!$C$11:$C$48345,0),84)</f>
        <v>0</v>
      </c>
      <c r="D86" s="21">
        <f ca="1">OFFSET(Y!$A$13,MATCH($C$2,Y!$C$11:$C$48345,0),84)</f>
        <v>0</v>
      </c>
      <c r="E86" s="21">
        <f ca="1">OFFSET(Y!$A$14,MATCH($C$2,Y!$C$11:$C$48345,0),84)</f>
        <v>0</v>
      </c>
      <c r="F86" s="21">
        <f ca="1">OFFSET(Y!$A$15,MATCH($C$2,Y!$C$11:$C$48345,0),84)</f>
        <v>0</v>
      </c>
      <c r="G86" s="21">
        <f ca="1">OFFSET(Y!$A$16,MATCH($C$2,Y!$C$11:$C$48345,0),84)</f>
        <v>0</v>
      </c>
      <c r="H86" s="21">
        <f ca="1">OFFSET(Y!$A$17,MATCH($C$2,Y!$C$11:$C$48345,0),84)</f>
        <v>0</v>
      </c>
      <c r="I86" s="21">
        <f ca="1">OFFSET(Y!$A$18,MATCH($C$2,Y!$C$11:$C$48345,0),84)</f>
        <v>0</v>
      </c>
      <c r="J86" s="7" t="s">
        <v>120</v>
      </c>
      <c r="K86" s="21">
        <f ca="1">OFFSET(S!$A$11,MATCH($C$2,S!$C$11:$C$47348,0),84)</f>
        <v>0</v>
      </c>
      <c r="L86" s="21">
        <f ca="1">OFFSET(S!$A$12,MATCH($C$2,S!$C$11:$C$47348,0),84)</f>
        <v>0</v>
      </c>
      <c r="M86" s="21">
        <f ca="1">OFFSET(S!$A$13,MATCH($C$2,S!$C$11:$C$47348,0),84)</f>
        <v>0</v>
      </c>
      <c r="N86" s="21">
        <f ca="1">OFFSET(S!$A$14,MATCH($C$2,S!$C$11:$C$47348,0),84)</f>
        <v>0</v>
      </c>
      <c r="O86" s="21">
        <f ca="1">OFFSET(S!$A$15,MATCH($C$2,S!$C$11:$C$47348,0),84)</f>
        <v>0</v>
      </c>
      <c r="P86" s="21">
        <f ca="1">OFFSET(S!$A$16,MATCH($C$2,S!$C$11:$C$47348,0),84)</f>
        <v>0</v>
      </c>
      <c r="Q86" s="21">
        <f ca="1">OFFSET(S!$A$17,MATCH($C$2,S!$C$11:$C$47348,0),84)</f>
        <v>0</v>
      </c>
      <c r="R86" s="21">
        <f ca="1">OFFSET(S!$A$18,MATCH($C$2,S!$C$11:$C$47348,0),84)</f>
        <v>0</v>
      </c>
      <c r="S86" s="3"/>
      <c r="T86" s="3"/>
      <c r="U86" s="3"/>
      <c r="V86" s="3"/>
      <c r="W86" s="3"/>
      <c r="X86" s="4"/>
      <c r="Y86" s="4"/>
      <c r="Z86" s="4"/>
      <c r="AA86" s="102"/>
      <c r="AB86" s="102"/>
      <c r="AC86" s="102"/>
      <c r="AD86" s="102"/>
      <c r="AE86" s="102"/>
      <c r="AF86" s="102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</row>
    <row r="87" spans="1:43">
      <c r="A87" s="10" t="s">
        <v>121</v>
      </c>
      <c r="B87" s="19">
        <f ca="1">OFFSET(Y!$A$11,MATCH($C$2,Y!$C$11:$C$48345,0),85)</f>
        <v>439</v>
      </c>
      <c r="C87" s="19">
        <f ca="1">OFFSET(Y!$A$12,MATCH($C$2,Y!$C$11:$C$48345,0),85)</f>
        <v>748</v>
      </c>
      <c r="D87" s="19">
        <f ca="1">OFFSET(Y!$A$13,MATCH($C$2,Y!$C$11:$C$48345,0),85)</f>
        <v>1001</v>
      </c>
      <c r="E87" s="19">
        <f ca="1">OFFSET(Y!$A$14,MATCH($C$2,Y!$C$11:$C$48345,0),85)</f>
        <v>1479</v>
      </c>
      <c r="F87" s="19">
        <f ca="1">OFFSET(Y!$A$15,MATCH($C$2,Y!$C$11:$C$48345,0),85)</f>
        <v>2241</v>
      </c>
      <c r="G87" s="19">
        <f ca="1">OFFSET(Y!$A$16,MATCH($C$2,Y!$C$11:$C$48345,0),85)</f>
        <v>3810</v>
      </c>
      <c r="H87" s="19">
        <f ca="1">OFFSET(Y!$A$17,MATCH($C$2,Y!$C$11:$C$48345,0),85)</f>
        <v>2893</v>
      </c>
      <c r="I87" s="19">
        <f ca="1">OFFSET(Y!$A$18,MATCH($C$2,Y!$C$11:$C$48345,0),85)</f>
        <v>412</v>
      </c>
      <c r="J87" s="12" t="s">
        <v>121</v>
      </c>
      <c r="K87" s="20">
        <f ca="1">OFFSET(S!$A$11,MATCH($C$2,S!$C$11:$C$47348,0),85)</f>
        <v>225</v>
      </c>
      <c r="L87" s="20">
        <f ca="1">OFFSET(S!$A$12,MATCH($C$2,S!$C$11:$C$47348,0),85)</f>
        <v>250</v>
      </c>
      <c r="M87" s="20">
        <f ca="1">OFFSET(S!$A$13,MATCH($C$2,S!$C$11:$C$47348,0),85)</f>
        <v>380</v>
      </c>
      <c r="N87" s="20">
        <f ca="1">OFFSET(S!$A$14,MATCH($C$2,S!$C$11:$C$47348,0),85)</f>
        <v>439</v>
      </c>
      <c r="O87" s="20">
        <f ca="1">OFFSET(S!$A$15,MATCH($C$2,S!$C$11:$C$47348,0),85)</f>
        <v>495</v>
      </c>
      <c r="P87" s="20">
        <f ca="1">OFFSET(S!$A$16,MATCH($C$2,S!$C$11:$C$47348,0),85)</f>
        <v>503</v>
      </c>
      <c r="Q87" s="20">
        <f ca="1">OFFSET(S!$A$17,MATCH($C$2,S!$C$11:$C$47348,0),85)</f>
        <v>695</v>
      </c>
      <c r="R87" s="20">
        <f ca="1">OFFSET(S!$A$18,MATCH($C$2,S!$C$11:$C$47348,0),85)</f>
        <v>748</v>
      </c>
      <c r="S87" s="3"/>
      <c r="T87" s="3"/>
      <c r="U87" s="3"/>
      <c r="V87" s="3"/>
      <c r="W87" s="3"/>
      <c r="X87" s="4"/>
      <c r="Y87" s="4"/>
      <c r="Z87" s="4"/>
      <c r="AA87" s="102"/>
      <c r="AB87" s="102"/>
      <c r="AC87" s="102"/>
      <c r="AD87" s="102"/>
      <c r="AE87" s="102"/>
      <c r="AF87" s="102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</row>
    <row r="88" spans="1:43">
      <c r="A88" s="7" t="s">
        <v>122</v>
      </c>
      <c r="B88" s="21">
        <f ca="1">OFFSET(Y!$A$11,MATCH($C$2,Y!$C$11:$C$48345,0),86)</f>
        <v>4300</v>
      </c>
      <c r="C88" s="21">
        <f ca="1">OFFSET(Y!$A$12,MATCH($C$2,Y!$C$11:$C$48345,0),86)</f>
        <v>4572</v>
      </c>
      <c r="D88" s="21">
        <f ca="1">OFFSET(Y!$A$13,MATCH($C$2,Y!$C$11:$C$48345,0),86)</f>
        <v>4856</v>
      </c>
      <c r="E88" s="21">
        <f ca="1">OFFSET(Y!$A$14,MATCH($C$2,Y!$C$11:$C$48345,0),86)</f>
        <v>5651</v>
      </c>
      <c r="F88" s="21">
        <f ca="1">OFFSET(Y!$A$15,MATCH($C$2,Y!$C$11:$C$48345,0),86)</f>
        <v>6879</v>
      </c>
      <c r="G88" s="21">
        <f ca="1">OFFSET(Y!$A$16,MATCH($C$2,Y!$C$11:$C$48345,0),86)</f>
        <v>8523</v>
      </c>
      <c r="H88" s="21">
        <f ca="1">OFFSET(Y!$A$17,MATCH($C$2,Y!$C$11:$C$48345,0),86)</f>
        <v>7613</v>
      </c>
      <c r="I88" s="21">
        <f ca="1">OFFSET(Y!$A$18,MATCH($C$2,Y!$C$11:$C$48345,0),86)</f>
        <v>4196</v>
      </c>
      <c r="J88" s="7" t="s">
        <v>122</v>
      </c>
      <c r="K88" s="21">
        <f ca="1">OFFSET(S!$A$11,MATCH($C$2,S!$C$11:$C$47348,0),86)</f>
        <v>4132</v>
      </c>
      <c r="L88" s="21">
        <f ca="1">OFFSET(S!$A$12,MATCH($C$2,S!$C$11:$C$47348,0),86)</f>
        <v>4133</v>
      </c>
      <c r="M88" s="21">
        <f ca="1">OFFSET(S!$A$13,MATCH($C$2,S!$C$11:$C$47348,0),86)</f>
        <v>4237</v>
      </c>
      <c r="N88" s="21">
        <f ca="1">OFFSET(S!$A$14,MATCH($C$2,S!$C$11:$C$47348,0),86)</f>
        <v>4300</v>
      </c>
      <c r="O88" s="21">
        <f ca="1">OFFSET(S!$A$15,MATCH($C$2,S!$C$11:$C$47348,0),86)</f>
        <v>4326</v>
      </c>
      <c r="P88" s="21">
        <f ca="1">OFFSET(S!$A$16,MATCH($C$2,S!$C$11:$C$47348,0),86)</f>
        <v>4363</v>
      </c>
      <c r="Q88" s="21">
        <f ca="1">OFFSET(S!$A$17,MATCH($C$2,S!$C$11:$C$47348,0),86)</f>
        <v>4526</v>
      </c>
      <c r="R88" s="21">
        <f ca="1">OFFSET(S!$A$18,MATCH($C$2,S!$C$11:$C$47348,0),86)</f>
        <v>4572</v>
      </c>
      <c r="S88" s="3"/>
      <c r="T88" s="3"/>
      <c r="U88" s="3"/>
      <c r="V88" s="3"/>
      <c r="W88" s="3"/>
      <c r="X88" s="4"/>
      <c r="Y88" s="4"/>
      <c r="Z88" s="4"/>
      <c r="AA88" s="102"/>
      <c r="AB88" s="102"/>
      <c r="AC88" s="102"/>
      <c r="AD88" s="102"/>
      <c r="AE88" s="102"/>
      <c r="AF88" s="102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</row>
    <row r="89" spans="1:43">
      <c r="A89" s="10" t="s">
        <v>123</v>
      </c>
      <c r="B89" s="19">
        <f ca="1">OFFSET(Y!$A$11,MATCH($C$2,Y!$C$11:$C$48345,0),87)</f>
        <v>131814</v>
      </c>
      <c r="C89" s="19">
        <f ca="1">OFFSET(Y!$A$12,MATCH($C$2,Y!$C$11:$C$48345,0),87)</f>
        <v>127095</v>
      </c>
      <c r="D89" s="19">
        <f ca="1">OFFSET(Y!$A$13,MATCH($C$2,Y!$C$11:$C$48345,0),87)</f>
        <v>82344</v>
      </c>
      <c r="E89" s="19">
        <f ca="1">OFFSET(Y!$A$14,MATCH($C$2,Y!$C$11:$C$48345,0),87)</f>
        <v>64182</v>
      </c>
      <c r="F89" s="19">
        <f ca="1">OFFSET(Y!$A$15,MATCH($C$2,Y!$C$11:$C$48345,0),87)</f>
        <v>64681</v>
      </c>
      <c r="G89" s="19">
        <f ca="1">OFFSET(Y!$A$16,MATCH($C$2,Y!$C$11:$C$48345,0),87)</f>
        <v>65604</v>
      </c>
      <c r="H89" s="19">
        <f ca="1">OFFSET(Y!$A$17,MATCH($C$2,Y!$C$11:$C$48345,0),87)</f>
        <v>61909</v>
      </c>
      <c r="I89" s="19">
        <f ca="1">OFFSET(Y!$A$18,MATCH($C$2,Y!$C$11:$C$48345,0),87)</f>
        <v>88588</v>
      </c>
      <c r="J89" s="36" t="s">
        <v>123</v>
      </c>
      <c r="K89" s="20">
        <f ca="1">OFFSET(S!$A$11,MATCH($C$2,S!$C$11:$C$47348,0),87)</f>
        <v>195500</v>
      </c>
      <c r="L89" s="20">
        <f ca="1">OFFSET(S!$A$12,MATCH($C$2,S!$C$11:$C$47348,0),87)</f>
        <v>245896</v>
      </c>
      <c r="M89" s="20">
        <f ca="1">OFFSET(S!$A$13,MATCH($C$2,S!$C$11:$C$47348,0),87)</f>
        <v>160205</v>
      </c>
      <c r="N89" s="20">
        <f ca="1">OFFSET(S!$A$14,MATCH($C$2,S!$C$11:$C$47348,0),87)</f>
        <v>131814</v>
      </c>
      <c r="O89" s="20">
        <f ca="1">OFFSET(S!$A$15,MATCH($C$2,S!$C$11:$C$47348,0),87)</f>
        <v>130657</v>
      </c>
      <c r="P89" s="20">
        <f ca="1">OFFSET(S!$A$16,MATCH($C$2,S!$C$11:$C$47348,0),87)</f>
        <v>201923</v>
      </c>
      <c r="Q89" s="20">
        <f ca="1">OFFSET(S!$A$17,MATCH($C$2,S!$C$11:$C$47348,0),87)</f>
        <v>123824</v>
      </c>
      <c r="R89" s="20">
        <f ca="1">OFFSET(S!$A$18,MATCH($C$2,S!$C$11:$C$47348,0),87)</f>
        <v>127095</v>
      </c>
      <c r="S89" s="3"/>
      <c r="T89" s="3"/>
      <c r="U89" s="3"/>
      <c r="V89" s="3"/>
      <c r="W89" s="3"/>
      <c r="X89" s="4"/>
      <c r="Y89" s="4"/>
      <c r="Z89" s="4"/>
      <c r="AA89" s="102"/>
      <c r="AB89" s="102"/>
      <c r="AC89" s="102"/>
      <c r="AD89" s="102"/>
      <c r="AE89" s="102"/>
      <c r="AF89" s="102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</row>
    <row r="90" spans="1:43">
      <c r="A90" s="7" t="s">
        <v>124</v>
      </c>
      <c r="B90" s="21">
        <f ca="1">OFFSET(Y!$A$11,MATCH($C$2,Y!$C$11:$C$48345,0),88)</f>
        <v>629594</v>
      </c>
      <c r="C90" s="21">
        <f ca="1">OFFSET(Y!$A$12,MATCH($C$2,Y!$C$11:$C$48345,0),88)</f>
        <v>574145</v>
      </c>
      <c r="D90" s="21">
        <f ca="1">OFFSET(Y!$A$13,MATCH($C$2,Y!$C$11:$C$48345,0),88)</f>
        <v>495083</v>
      </c>
      <c r="E90" s="21">
        <f ca="1">OFFSET(Y!$A$14,MATCH($C$2,Y!$C$11:$C$48345,0),88)</f>
        <v>476377</v>
      </c>
      <c r="F90" s="21">
        <f ca="1">OFFSET(Y!$A$15,MATCH($C$2,Y!$C$11:$C$48345,0),88)</f>
        <v>487091</v>
      </c>
      <c r="G90" s="21">
        <f ca="1">OFFSET(Y!$A$16,MATCH($C$2,Y!$C$11:$C$48345,0),88)</f>
        <v>507981</v>
      </c>
      <c r="H90" s="21">
        <f ca="1">OFFSET(Y!$A$17,MATCH($C$2,Y!$C$11:$C$48345,0),88)</f>
        <v>445630</v>
      </c>
      <c r="I90" s="21">
        <f ca="1">OFFSET(Y!$A$18,MATCH($C$2,Y!$C$11:$C$48345,0),88)</f>
        <v>398965</v>
      </c>
      <c r="J90" s="7" t="s">
        <v>124</v>
      </c>
      <c r="K90" s="21">
        <f ca="1">OFFSET(S!$A$11,MATCH($C$2,S!$C$11:$C$47348,0),88)</f>
        <v>674543</v>
      </c>
      <c r="L90" s="21">
        <f ca="1">OFFSET(S!$A$12,MATCH($C$2,S!$C$11:$C$47348,0),88)</f>
        <v>627465</v>
      </c>
      <c r="M90" s="21">
        <f ca="1">OFFSET(S!$A$13,MATCH($C$2,S!$C$11:$C$47348,0),88)</f>
        <v>660932</v>
      </c>
      <c r="N90" s="21">
        <f ca="1">OFFSET(S!$A$14,MATCH($C$2,S!$C$11:$C$47348,0),88)</f>
        <v>629594</v>
      </c>
      <c r="O90" s="21">
        <f ca="1">OFFSET(S!$A$15,MATCH($C$2,S!$C$11:$C$47348,0),88)</f>
        <v>598628</v>
      </c>
      <c r="P90" s="21">
        <f ca="1">OFFSET(S!$A$16,MATCH($C$2,S!$C$11:$C$47348,0),88)</f>
        <v>563950</v>
      </c>
      <c r="Q90" s="21">
        <f ca="1">OFFSET(S!$A$17,MATCH($C$2,S!$C$11:$C$47348,0),88)</f>
        <v>607674</v>
      </c>
      <c r="R90" s="21">
        <f ca="1">OFFSET(S!$A$18,MATCH($C$2,S!$C$11:$C$47348,0),88)</f>
        <v>574145</v>
      </c>
      <c r="S90" s="3"/>
      <c r="T90" s="3"/>
      <c r="U90" s="3"/>
      <c r="V90" s="3"/>
      <c r="W90" s="3"/>
      <c r="X90" s="4"/>
      <c r="Y90" s="4"/>
      <c r="Z90" s="4"/>
      <c r="AA90" s="102"/>
      <c r="AB90" s="102"/>
      <c r="AC90" s="102"/>
      <c r="AD90" s="102"/>
      <c r="AE90" s="102"/>
      <c r="AF90" s="102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</row>
    <row r="91" spans="1:43">
      <c r="A91" s="10" t="s">
        <v>125</v>
      </c>
      <c r="B91" s="19">
        <f ca="1">OFFSET(Y!$A$11,MATCH($C$2,Y!$C$11:$C$48345,0),89)</f>
        <v>259162</v>
      </c>
      <c r="C91" s="19">
        <f ca="1">OFFSET(Y!$A$12,MATCH($C$2,Y!$C$11:$C$48345,0),89)</f>
        <v>259101</v>
      </c>
      <c r="D91" s="19">
        <f ca="1">OFFSET(Y!$A$13,MATCH($C$2,Y!$C$11:$C$48345,0),89)</f>
        <v>259027</v>
      </c>
      <c r="E91" s="19">
        <f ca="1">OFFSET(Y!$A$14,MATCH($C$2,Y!$C$11:$C$48345,0),89)</f>
        <v>256254</v>
      </c>
      <c r="F91" s="19">
        <f ca="1">OFFSET(Y!$A$15,MATCH($C$2,Y!$C$11:$C$48345,0),89)</f>
        <v>264271</v>
      </c>
      <c r="G91" s="19">
        <f ca="1">OFFSET(Y!$A$16,MATCH($C$2,Y!$C$11:$C$48345,0),89)</f>
        <v>258297</v>
      </c>
      <c r="H91" s="19">
        <f ca="1">OFFSET(Y!$A$17,MATCH($C$2,Y!$C$11:$C$48345,0),89)</f>
        <v>247300</v>
      </c>
      <c r="I91" s="19">
        <f ca="1">OFFSET(Y!$A$18,MATCH($C$2,Y!$C$11:$C$48345,0),89)</f>
        <v>232520</v>
      </c>
      <c r="J91" s="36" t="s">
        <v>125</v>
      </c>
      <c r="K91" s="20">
        <f ca="1">OFFSET(S!$A$11,MATCH($C$2,S!$C$11:$C$47348,0),89)</f>
        <v>259220</v>
      </c>
      <c r="L91" s="20">
        <f ca="1">OFFSET(S!$A$12,MATCH($C$2,S!$C$11:$C$47348,0),89)</f>
        <v>259207</v>
      </c>
      <c r="M91" s="20">
        <f ca="1">OFFSET(S!$A$13,MATCH($C$2,S!$C$11:$C$47348,0),89)</f>
        <v>259206</v>
      </c>
      <c r="N91" s="20">
        <f ca="1">OFFSET(S!$A$14,MATCH($C$2,S!$C$11:$C$47348,0),89)</f>
        <v>259162</v>
      </c>
      <c r="O91" s="20">
        <f ca="1">OFFSET(S!$A$15,MATCH($C$2,S!$C$11:$C$47348,0),89)</f>
        <v>259151</v>
      </c>
      <c r="P91" s="20">
        <f ca="1">OFFSET(S!$A$16,MATCH($C$2,S!$C$11:$C$47348,0),89)</f>
        <v>259143</v>
      </c>
      <c r="Q91" s="20">
        <f ca="1">OFFSET(S!$A$17,MATCH($C$2,S!$C$11:$C$47348,0),89)</f>
        <v>259142</v>
      </c>
      <c r="R91" s="20">
        <f ca="1">OFFSET(S!$A$18,MATCH($C$2,S!$C$11:$C$47348,0),89)</f>
        <v>259101</v>
      </c>
      <c r="S91" s="3"/>
      <c r="T91" s="3"/>
      <c r="U91" s="3"/>
      <c r="V91" s="3"/>
      <c r="W91" s="3"/>
      <c r="X91" s="4"/>
      <c r="Y91" s="4"/>
      <c r="Z91" s="4"/>
      <c r="AA91" s="102"/>
      <c r="AB91" s="102"/>
      <c r="AC91" s="102"/>
      <c r="AD91" s="102"/>
      <c r="AE91" s="102"/>
      <c r="AF91" s="102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</row>
    <row r="92" spans="1:43">
      <c r="A92" s="7" t="s">
        <v>126</v>
      </c>
      <c r="B92" s="21">
        <f ca="1">OFFSET(Y!$A$11,MATCH($C$2,Y!$C$11:$C$48345,0),90)</f>
        <v>0</v>
      </c>
      <c r="C92" s="21">
        <f ca="1">OFFSET(Y!$A$12,MATCH($C$2,Y!$C$11:$C$48345,0),90)</f>
        <v>0</v>
      </c>
      <c r="D92" s="21">
        <f ca="1">OFFSET(Y!$A$13,MATCH($C$2,Y!$C$11:$C$48345,0),90)</f>
        <v>0</v>
      </c>
      <c r="E92" s="21">
        <f ca="1">OFFSET(Y!$A$14,MATCH($C$2,Y!$C$11:$C$48345,0),90)</f>
        <v>0</v>
      </c>
      <c r="F92" s="21">
        <f ca="1">OFFSET(Y!$A$15,MATCH($C$2,Y!$C$11:$C$48345,0),90)</f>
        <v>0</v>
      </c>
      <c r="G92" s="21">
        <f ca="1">OFFSET(Y!$A$16,MATCH($C$2,Y!$C$11:$C$48345,0),90)</f>
        <v>0</v>
      </c>
      <c r="H92" s="21">
        <f ca="1">OFFSET(Y!$A$17,MATCH($C$2,Y!$C$11:$C$48345,0),90)</f>
        <v>0</v>
      </c>
      <c r="I92" s="21">
        <f ca="1">OFFSET(Y!$A$18,MATCH($C$2,Y!$C$11:$C$48345,0),90)</f>
        <v>0</v>
      </c>
      <c r="J92" s="7" t="s">
        <v>126</v>
      </c>
      <c r="K92" s="21">
        <f ca="1">OFFSET(S!$A$11,MATCH($C$2,S!$C$11:$C$47348,0),90)</f>
        <v>0</v>
      </c>
      <c r="L92" s="21">
        <f ca="1">OFFSET(S!$A$12,MATCH($C$2,S!$C$11:$C$47348,0),90)</f>
        <v>0</v>
      </c>
      <c r="M92" s="21">
        <f ca="1">OFFSET(S!$A$13,MATCH($C$2,S!$C$11:$C$47348,0),90)</f>
        <v>0</v>
      </c>
      <c r="N92" s="21">
        <f ca="1">OFFSET(S!$A$14,MATCH($C$2,S!$C$11:$C$47348,0),90)</f>
        <v>0</v>
      </c>
      <c r="O92" s="21">
        <f ca="1">OFFSET(S!$A$15,MATCH($C$2,S!$C$11:$C$47348,0),90)</f>
        <v>0</v>
      </c>
      <c r="P92" s="21">
        <f ca="1">OFFSET(S!$A$16,MATCH($C$2,S!$C$11:$C$47348,0),90)</f>
        <v>0</v>
      </c>
      <c r="Q92" s="21">
        <f ca="1">OFFSET(S!$A$17,MATCH($C$2,S!$C$11:$C$47348,0),90)</f>
        <v>0</v>
      </c>
      <c r="R92" s="21">
        <f ca="1">OFFSET(S!$A$18,MATCH($C$2,S!$C$11:$C$47348,0),90)</f>
        <v>0</v>
      </c>
      <c r="S92" s="3"/>
      <c r="T92" s="3"/>
      <c r="U92" s="3"/>
      <c r="V92" s="3"/>
      <c r="W92" s="3"/>
      <c r="X92" s="4"/>
      <c r="Y92" s="4"/>
      <c r="Z92" s="4"/>
      <c r="AA92" s="102"/>
      <c r="AB92" s="102"/>
      <c r="AC92" s="102"/>
      <c r="AD92" s="102"/>
      <c r="AE92" s="102"/>
      <c r="AF92" s="102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</row>
    <row r="93" spans="1:43">
      <c r="A93" s="10" t="s">
        <v>127</v>
      </c>
      <c r="B93" s="19">
        <f ca="1">OFFSET(Y!$A$11,MATCH($C$2,Y!$C$11:$C$48345,0),91)</f>
        <v>55846</v>
      </c>
      <c r="C93" s="19">
        <f ca="1">OFFSET(Y!$A$12,MATCH($C$2,Y!$C$11:$C$48345,0),91)</f>
        <v>55698</v>
      </c>
      <c r="D93" s="19">
        <f ca="1">OFFSET(Y!$A$13,MATCH($C$2,Y!$C$11:$C$48345,0),91)</f>
        <v>55486</v>
      </c>
      <c r="E93" s="19">
        <f ca="1">OFFSET(Y!$A$14,MATCH($C$2,Y!$C$11:$C$48345,0),91)</f>
        <v>49875</v>
      </c>
      <c r="F93" s="19">
        <f ca="1">OFFSET(Y!$A$15,MATCH($C$2,Y!$C$11:$C$48345,0),91)</f>
        <v>53733</v>
      </c>
      <c r="G93" s="19">
        <f ca="1">OFFSET(Y!$A$16,MATCH($C$2,Y!$C$11:$C$48345,0),91)</f>
        <v>54107</v>
      </c>
      <c r="H93" s="19">
        <f ca="1">OFFSET(Y!$A$17,MATCH($C$2,Y!$C$11:$C$48345,0),91)</f>
        <v>57118</v>
      </c>
      <c r="I93" s="19">
        <f ca="1">OFFSET(Y!$A$18,MATCH($C$2,Y!$C$11:$C$48345,0),91)</f>
        <v>56537</v>
      </c>
      <c r="J93" s="36" t="s">
        <v>127</v>
      </c>
      <c r="K93" s="20">
        <f ca="1">OFFSET(S!$A$11,MATCH($C$2,S!$C$11:$C$47348,0),91)</f>
        <v>56074</v>
      </c>
      <c r="L93" s="20">
        <f ca="1">OFFSET(S!$A$12,MATCH($C$2,S!$C$11:$C$47348,0),91)</f>
        <v>56025</v>
      </c>
      <c r="M93" s="20">
        <f ca="1">OFFSET(S!$A$13,MATCH($C$2,S!$C$11:$C$47348,0),91)</f>
        <v>56008</v>
      </c>
      <c r="N93" s="20">
        <f ca="1">OFFSET(S!$A$14,MATCH($C$2,S!$C$11:$C$47348,0),91)</f>
        <v>55846</v>
      </c>
      <c r="O93" s="20">
        <f ca="1">OFFSET(S!$A$15,MATCH($C$2,S!$C$11:$C$47348,0),91)</f>
        <v>55690</v>
      </c>
      <c r="P93" s="20">
        <f ca="1">OFFSET(S!$A$16,MATCH($C$2,S!$C$11:$C$47348,0),91)</f>
        <v>55802</v>
      </c>
      <c r="Q93" s="20">
        <f ca="1">OFFSET(S!$A$17,MATCH($C$2,S!$C$11:$C$47348,0),91)</f>
        <v>55781</v>
      </c>
      <c r="R93" s="20">
        <f ca="1">OFFSET(S!$A$18,MATCH($C$2,S!$C$11:$C$47348,0),91)</f>
        <v>55698</v>
      </c>
      <c r="S93" s="3"/>
      <c r="T93" s="3"/>
      <c r="U93" s="3"/>
      <c r="V93" s="3"/>
      <c r="W93" s="3"/>
      <c r="X93" s="4"/>
      <c r="Y93" s="4"/>
      <c r="Z93" s="4"/>
      <c r="AA93" s="102"/>
      <c r="AB93" s="102"/>
      <c r="AC93" s="102"/>
      <c r="AD93" s="102"/>
      <c r="AE93" s="102"/>
      <c r="AF93" s="102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</row>
    <row r="94" spans="1:43">
      <c r="A94" s="7" t="s">
        <v>128</v>
      </c>
      <c r="B94" s="21">
        <f ca="1">OFFSET(Y!$A$11,MATCH($C$2,Y!$C$11:$C$48345,0),92)</f>
        <v>102400</v>
      </c>
      <c r="C94" s="21">
        <f ca="1">OFFSET(Y!$A$12,MATCH($C$2,Y!$C$11:$C$48345,0),92)</f>
        <v>86239</v>
      </c>
      <c r="D94" s="21">
        <f ca="1">OFFSET(Y!$A$13,MATCH($C$2,Y!$C$11:$C$48345,0),92)</f>
        <v>77318</v>
      </c>
      <c r="E94" s="21">
        <f ca="1">OFFSET(Y!$A$14,MATCH($C$2,Y!$C$11:$C$48345,0),92)</f>
        <v>67324</v>
      </c>
      <c r="F94" s="21">
        <f ca="1">OFFSET(Y!$A$15,MATCH($C$2,Y!$C$11:$C$48345,0),92)</f>
        <v>56407</v>
      </c>
      <c r="G94" s="21">
        <f ca="1">OFFSET(Y!$A$16,MATCH($C$2,Y!$C$11:$C$48345,0),92)</f>
        <v>43706</v>
      </c>
      <c r="H94" s="21">
        <f ca="1">OFFSET(Y!$A$17,MATCH($C$2,Y!$C$11:$C$48345,0),92)</f>
        <v>34348</v>
      </c>
      <c r="I94" s="21">
        <f ca="1">OFFSET(Y!$A$18,MATCH($C$2,Y!$C$11:$C$48345,0),92)</f>
        <v>25528</v>
      </c>
      <c r="J94" s="7" t="s">
        <v>128</v>
      </c>
      <c r="K94" s="21">
        <f ca="1">OFFSET(S!$A$11,MATCH($C$2,S!$C$11:$C$47348,0),92)</f>
        <v>115820</v>
      </c>
      <c r="L94" s="21">
        <f ca="1">OFFSET(S!$A$12,MATCH($C$2,S!$C$11:$C$47348,0),92)</f>
        <v>115820</v>
      </c>
      <c r="M94" s="21">
        <f ca="1">OFFSET(S!$A$13,MATCH($C$2,S!$C$11:$C$47348,0),92)</f>
        <v>102400</v>
      </c>
      <c r="N94" s="21">
        <f ca="1">OFFSET(S!$A$14,MATCH($C$2,S!$C$11:$C$47348,0),92)</f>
        <v>102400</v>
      </c>
      <c r="O94" s="21">
        <f ca="1">OFFSET(S!$A$15,MATCH($C$2,S!$C$11:$C$47348,0),92)</f>
        <v>102400</v>
      </c>
      <c r="P94" s="21">
        <f ca="1">OFFSET(S!$A$16,MATCH($C$2,S!$C$11:$C$47348,0),92)</f>
        <v>102400</v>
      </c>
      <c r="Q94" s="21">
        <f ca="1">OFFSET(S!$A$17,MATCH($C$2,S!$C$11:$C$47348,0),92)</f>
        <v>86239</v>
      </c>
      <c r="R94" s="21">
        <f ca="1">OFFSET(S!$A$18,MATCH($C$2,S!$C$11:$C$47348,0),92)</f>
        <v>86239</v>
      </c>
      <c r="S94" s="3"/>
      <c r="T94" s="3"/>
      <c r="U94" s="3"/>
      <c r="V94" s="3"/>
      <c r="W94" s="3"/>
      <c r="X94" s="4"/>
      <c r="Y94" s="4"/>
      <c r="Z94" s="4"/>
      <c r="AA94" s="102"/>
      <c r="AB94" s="102"/>
      <c r="AC94" s="102"/>
      <c r="AD94" s="102"/>
      <c r="AE94" s="102"/>
      <c r="AF94" s="102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</row>
    <row r="95" spans="1:43">
      <c r="A95" s="10" t="s">
        <v>129</v>
      </c>
      <c r="B95" s="19">
        <f ca="1">OFFSET(Y!$A$11,MATCH($C$2,Y!$C$11:$C$48345,0),93)</f>
        <v>6434</v>
      </c>
      <c r="C95" s="19">
        <f ca="1">OFFSET(Y!$A$12,MATCH($C$2,Y!$C$11:$C$48345,0),93)</f>
        <v>1313</v>
      </c>
      <c r="D95" s="19">
        <f ca="1">OFFSET(Y!$A$13,MATCH($C$2,Y!$C$11:$C$48345,0),93)</f>
        <v>0</v>
      </c>
      <c r="E95" s="19">
        <f ca="1">OFFSET(Y!$A$14,MATCH($C$2,Y!$C$11:$C$48345,0),93)</f>
        <v>392</v>
      </c>
      <c r="F95" s="19">
        <f ca="1">OFFSET(Y!$A$15,MATCH($C$2,Y!$C$11:$C$48345,0),93)</f>
        <v>630</v>
      </c>
      <c r="G95" s="19">
        <f ca="1">OFFSET(Y!$A$16,MATCH($C$2,Y!$C$11:$C$48345,0),93)</f>
        <v>641</v>
      </c>
      <c r="H95" s="19">
        <f ca="1">OFFSET(Y!$A$17,MATCH($C$2,Y!$C$11:$C$48345,0),93)</f>
        <v>2226</v>
      </c>
      <c r="I95" s="19">
        <f ca="1">OFFSET(Y!$A$18,MATCH($C$2,Y!$C$11:$C$48345,0),93)</f>
        <v>0</v>
      </c>
      <c r="J95" s="36" t="s">
        <v>129</v>
      </c>
      <c r="K95" s="20">
        <f ca="1">OFFSET(S!$A$11,MATCH($C$2,S!$C$11:$C$47348,0),93)</f>
        <v>7606</v>
      </c>
      <c r="L95" s="20">
        <f ca="1">OFFSET(S!$A$12,MATCH($C$2,S!$C$11:$C$47348,0),93)</f>
        <v>7606</v>
      </c>
      <c r="M95" s="20">
        <f ca="1">OFFSET(S!$A$13,MATCH($C$2,S!$C$11:$C$47348,0),93)</f>
        <v>6434</v>
      </c>
      <c r="N95" s="20">
        <f ca="1">OFFSET(S!$A$14,MATCH($C$2,S!$C$11:$C$47348,0),93)</f>
        <v>6434</v>
      </c>
      <c r="O95" s="20">
        <f ca="1">OFFSET(S!$A$15,MATCH($C$2,S!$C$11:$C$47348,0),93)</f>
        <v>6434</v>
      </c>
      <c r="P95" s="20">
        <f ca="1">OFFSET(S!$A$16,MATCH($C$2,S!$C$11:$C$47348,0),93)</f>
        <v>6434</v>
      </c>
      <c r="Q95" s="20">
        <f ca="1">OFFSET(S!$A$17,MATCH($C$2,S!$C$11:$C$47348,0),93)</f>
        <v>1313</v>
      </c>
      <c r="R95" s="20">
        <f ca="1">OFFSET(S!$A$18,MATCH($C$2,S!$C$11:$C$47348,0),93)</f>
        <v>1313</v>
      </c>
      <c r="S95" s="3"/>
      <c r="T95" s="3"/>
      <c r="U95" s="3"/>
      <c r="V95" s="3"/>
      <c r="W95" s="3"/>
      <c r="X95" s="4"/>
      <c r="Y95" s="4"/>
      <c r="Z95" s="4"/>
      <c r="AA95" s="102"/>
      <c r="AB95" s="102"/>
      <c r="AC95" s="102"/>
      <c r="AD95" s="102"/>
      <c r="AE95" s="102"/>
      <c r="AF95" s="102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</row>
    <row r="96" spans="1:43">
      <c r="A96" s="7" t="s">
        <v>130</v>
      </c>
      <c r="B96" s="21">
        <f ca="1">OFFSET(Y!$A$11,MATCH($C$2,Y!$C$11:$C$48345,0),94)</f>
        <v>213357</v>
      </c>
      <c r="C96" s="21">
        <f ca="1">OFFSET(Y!$A$12,MATCH($C$2,Y!$C$11:$C$48345,0),94)</f>
        <v>178227</v>
      </c>
      <c r="D96" s="21">
        <f ca="1">OFFSET(Y!$A$13,MATCH($C$2,Y!$C$11:$C$48345,0),94)</f>
        <v>104565</v>
      </c>
      <c r="E96" s="21">
        <f ca="1">OFFSET(Y!$A$14,MATCH($C$2,Y!$C$11:$C$48345,0),94)</f>
        <v>102337</v>
      </c>
      <c r="F96" s="21">
        <f ca="1">OFFSET(Y!$A$15,MATCH($C$2,Y!$C$11:$C$48345,0),94)</f>
        <v>161828</v>
      </c>
      <c r="G96" s="21">
        <f ca="1">OFFSET(Y!$A$16,MATCH($C$2,Y!$C$11:$C$48345,0),94)</f>
        <v>152778</v>
      </c>
      <c r="H96" s="21">
        <f ca="1">OFFSET(Y!$A$17,MATCH($C$2,Y!$C$11:$C$48345,0),94)</f>
        <v>106196</v>
      </c>
      <c r="I96" s="21">
        <f ca="1">OFFSET(Y!$A$18,MATCH($C$2,Y!$C$11:$C$48345,0),94)</f>
        <v>88202</v>
      </c>
      <c r="J96" s="7" t="s">
        <v>130</v>
      </c>
      <c r="K96" s="21">
        <f ca="1">OFFSET(S!$A$11,MATCH($C$2,S!$C$11:$C$47348,0),94)</f>
        <v>245606</v>
      </c>
      <c r="L96" s="21">
        <f ca="1">OFFSET(S!$A$12,MATCH($C$2,S!$C$11:$C$47348,0),94)</f>
        <v>196303</v>
      </c>
      <c r="M96" s="21">
        <f ca="1">OFFSET(S!$A$13,MATCH($C$2,S!$C$11:$C$47348,0),94)</f>
        <v>246831</v>
      </c>
      <c r="N96" s="21">
        <f ca="1">OFFSET(S!$A$14,MATCH($C$2,S!$C$11:$C$47348,0),94)</f>
        <v>213357</v>
      </c>
      <c r="O96" s="21">
        <f ca="1">OFFSET(S!$A$15,MATCH($C$2,S!$C$11:$C$47348,0),94)</f>
        <v>181838</v>
      </c>
      <c r="P96" s="21">
        <f ca="1">OFFSET(S!$A$16,MATCH($C$2,S!$C$11:$C$47348,0),94)</f>
        <v>151444</v>
      </c>
      <c r="Q96" s="21">
        <f ca="1">OFFSET(S!$A$17,MATCH($C$2,S!$C$11:$C$47348,0),94)</f>
        <v>214505</v>
      </c>
      <c r="R96" s="21">
        <f ca="1">OFFSET(S!$A$18,MATCH($C$2,S!$C$11:$C$47348,0),94)</f>
        <v>178227</v>
      </c>
      <c r="S96" s="3"/>
      <c r="T96" s="3"/>
      <c r="U96" s="3"/>
      <c r="V96" s="3"/>
      <c r="W96" s="3"/>
      <c r="X96" s="4"/>
      <c r="Y96" s="4"/>
      <c r="Z96" s="4"/>
      <c r="AA96" s="102"/>
      <c r="AB96" s="102"/>
      <c r="AC96" s="102"/>
      <c r="AD96" s="102"/>
      <c r="AE96" s="102"/>
      <c r="AF96" s="102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</row>
    <row r="97" spans="1:43">
      <c r="A97" s="10" t="s">
        <v>131</v>
      </c>
      <c r="B97" s="19">
        <f ca="1">OFFSET(Y!$A$11,MATCH($C$2,Y!$C$11:$C$48345,0),95)</f>
        <v>-1173</v>
      </c>
      <c r="C97" s="19">
        <f ca="1">OFFSET(Y!$A$12,MATCH($C$2,Y!$C$11:$C$48345,0),95)</f>
        <v>109</v>
      </c>
      <c r="D97" s="19">
        <f ca="1">OFFSET(Y!$A$13,MATCH($C$2,Y!$C$11:$C$48345,0),95)</f>
        <v>454</v>
      </c>
      <c r="E97" s="19">
        <f ca="1">OFFSET(Y!$A$14,MATCH($C$2,Y!$C$11:$C$48345,0),95)</f>
        <v>-287</v>
      </c>
      <c r="F97" s="19">
        <f ca="1">OFFSET(Y!$A$15,MATCH($C$2,Y!$C$11:$C$48345,0),95)</f>
        <v>681</v>
      </c>
      <c r="G97" s="19">
        <f ca="1">OFFSET(Y!$A$16,MATCH($C$2,Y!$C$11:$C$48345,0),95)</f>
        <v>562</v>
      </c>
      <c r="H97" s="19">
        <f ca="1">OFFSET(Y!$A$17,MATCH($C$2,Y!$C$11:$C$48345,0),95)</f>
        <v>0</v>
      </c>
      <c r="I97" s="19">
        <f ca="1">OFFSET(Y!$A$18,MATCH($C$2,Y!$C$11:$C$48345,0),95)</f>
        <v>0</v>
      </c>
      <c r="J97" s="36" t="s">
        <v>131</v>
      </c>
      <c r="K97" s="20">
        <f ca="1">OFFSET(S!$A$11,MATCH($C$2,S!$C$11:$C$47348,0),95)</f>
        <v>268</v>
      </c>
      <c r="L97" s="20">
        <f ca="1">OFFSET(S!$A$12,MATCH($C$2,S!$C$11:$C$47348,0),95)</f>
        <v>335</v>
      </c>
      <c r="M97" s="20">
        <f ca="1">OFFSET(S!$A$13,MATCH($C$2,S!$C$11:$C$47348,0),95)</f>
        <v>-883</v>
      </c>
      <c r="N97" s="20">
        <f ca="1">OFFSET(S!$A$14,MATCH($C$2,S!$C$11:$C$47348,0),95)</f>
        <v>-1173</v>
      </c>
      <c r="O97" s="20">
        <f ca="1">OFFSET(S!$A$15,MATCH($C$2,S!$C$11:$C$47348,0),95)</f>
        <v>-1227</v>
      </c>
      <c r="P97" s="20">
        <f ca="1">OFFSET(S!$A$16,MATCH($C$2,S!$C$11:$C$47348,0),95)</f>
        <v>188</v>
      </c>
      <c r="Q97" s="20">
        <f ca="1">OFFSET(S!$A$17,MATCH($C$2,S!$C$11:$C$47348,0),95)</f>
        <v>45</v>
      </c>
      <c r="R97" s="20">
        <f ca="1">OFFSET(S!$A$18,MATCH($C$2,S!$C$11:$C$47348,0),95)</f>
        <v>109</v>
      </c>
      <c r="S97" s="3"/>
      <c r="T97" s="3"/>
      <c r="U97" s="3"/>
      <c r="V97" s="3"/>
      <c r="W97" s="3"/>
      <c r="X97" s="4"/>
      <c r="Y97" s="4"/>
      <c r="Z97" s="4"/>
      <c r="AA97" s="102"/>
      <c r="AB97" s="102"/>
      <c r="AC97" s="102"/>
      <c r="AD97" s="102"/>
      <c r="AE97" s="102"/>
      <c r="AF97" s="102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</row>
    <row r="98" spans="1:43">
      <c r="A98" s="7" t="s">
        <v>132</v>
      </c>
      <c r="B98" s="21">
        <f ca="1">OFFSET(Y!$A$11,MATCH($C$2,Y!$C$11:$C$48345,0),96)</f>
        <v>761408</v>
      </c>
      <c r="C98" s="21">
        <f ca="1">OFFSET(Y!$A$12,MATCH($C$2,Y!$C$11:$C$48345,0),96)</f>
        <v>701240</v>
      </c>
      <c r="D98" s="21">
        <f ca="1">OFFSET(Y!$A$13,MATCH($C$2,Y!$C$11:$C$48345,0),96)</f>
        <v>577427</v>
      </c>
      <c r="E98" s="21">
        <f ca="1">OFFSET(Y!$A$14,MATCH($C$2,Y!$C$11:$C$48345,0),96)</f>
        <v>540559</v>
      </c>
      <c r="F98" s="21">
        <f ca="1">OFFSET(Y!$A$15,MATCH($C$2,Y!$C$11:$C$48345,0),96)</f>
        <v>551773</v>
      </c>
      <c r="G98" s="21">
        <f ca="1">OFFSET(Y!$A$16,MATCH($C$2,Y!$C$11:$C$48345,0),96)</f>
        <v>573585</v>
      </c>
      <c r="H98" s="21">
        <f ca="1">OFFSET(Y!$A$17,MATCH($C$2,Y!$C$11:$C$48345,0),96)</f>
        <v>507540</v>
      </c>
      <c r="I98" s="21">
        <f ca="1">OFFSET(Y!$A$18,MATCH($C$2,Y!$C$11:$C$48345,0),96)</f>
        <v>487553</v>
      </c>
      <c r="J98" s="7" t="s">
        <v>132</v>
      </c>
      <c r="K98" s="21">
        <f ca="1">OFFSET(S!$A$11,MATCH($C$2,S!$C$11:$C$47348,0),96)</f>
        <v>870043</v>
      </c>
      <c r="L98" s="21">
        <f ca="1">OFFSET(S!$A$12,MATCH($C$2,S!$C$11:$C$47348,0),96)</f>
        <v>873361</v>
      </c>
      <c r="M98" s="21">
        <f ca="1">OFFSET(S!$A$13,MATCH($C$2,S!$C$11:$C$47348,0),96)</f>
        <v>821137</v>
      </c>
      <c r="N98" s="21">
        <f ca="1">OFFSET(S!$A$14,MATCH($C$2,S!$C$11:$C$47348,0),96)</f>
        <v>761408</v>
      </c>
      <c r="O98" s="21">
        <f ca="1">OFFSET(S!$A$15,MATCH($C$2,S!$C$11:$C$47348,0),96)</f>
        <v>729285</v>
      </c>
      <c r="P98" s="21">
        <f ca="1">OFFSET(S!$A$16,MATCH($C$2,S!$C$11:$C$47348,0),96)</f>
        <v>765873</v>
      </c>
      <c r="Q98" s="21">
        <f ca="1">OFFSET(S!$A$17,MATCH($C$2,S!$C$11:$C$47348,0),96)</f>
        <v>731498</v>
      </c>
      <c r="R98" s="21">
        <f ca="1">OFFSET(S!$A$18,MATCH($C$2,S!$C$11:$C$47348,0),96)</f>
        <v>701240</v>
      </c>
      <c r="S98" s="3"/>
      <c r="T98" s="3"/>
      <c r="U98" s="3"/>
      <c r="V98" s="3"/>
      <c r="W98" s="3"/>
      <c r="X98" s="4"/>
      <c r="Y98" s="4"/>
      <c r="Z98" s="4"/>
      <c r="AA98" s="102"/>
      <c r="AB98" s="102"/>
      <c r="AC98" s="102"/>
      <c r="AD98" s="102"/>
      <c r="AE98" s="102"/>
      <c r="AF98" s="102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</row>
    <row r="99" spans="1:43">
      <c r="A99" s="10" t="s">
        <v>133</v>
      </c>
      <c r="B99" s="39">
        <f ca="1">OFFSET(Y!$A$11,MATCH($C$2,Y!$C$11:$C$48345,0),97)</f>
        <v>44.27</v>
      </c>
      <c r="C99" s="39">
        <f ca="1">OFFSET(Y!$A$12,MATCH($C$2,Y!$C$11:$C$48345,0),97)</f>
        <v>48.42</v>
      </c>
      <c r="D99" s="39">
        <f ca="1">OFFSET(Y!$A$13,MATCH($C$2,Y!$C$11:$C$48345,0),97)</f>
        <v>44.32</v>
      </c>
      <c r="E99" s="39">
        <f ca="1">OFFSET(Y!$A$14,MATCH($C$2,Y!$C$11:$C$48345,0),97)</f>
        <v>42.94</v>
      </c>
      <c r="F99" s="39">
        <f ca="1">OFFSET(Y!$A$15,MATCH($C$2,Y!$C$11:$C$48345,0),97)</f>
        <v>43.81</v>
      </c>
      <c r="G99" s="39">
        <f ca="1">OFFSET(Y!$A$16,MATCH($C$2,Y!$C$11:$C$48345,0),97)</f>
        <v>47.7</v>
      </c>
      <c r="H99" s="39">
        <f ca="1">OFFSET(Y!$A$17,MATCH($C$2,Y!$C$11:$C$48345,0),97)</f>
        <v>43.56</v>
      </c>
      <c r="I99" s="39">
        <f ca="1">OFFSET(Y!$A$18,MATCH($C$2,Y!$C$11:$C$48345,0),97)</f>
        <v>43.03</v>
      </c>
      <c r="J99" s="12" t="s">
        <v>133</v>
      </c>
      <c r="K99" s="40">
        <f ca="1">OFFSET(S!$A$11,MATCH($C$2,S!$C$11:$C$47348,0),97)</f>
        <v>47.38</v>
      </c>
      <c r="L99" s="40">
        <f ca="1">OFFSET(S!$A$12,MATCH($C$2,S!$C$11:$C$47348,0),97)</f>
        <v>47.68</v>
      </c>
      <c r="M99" s="40">
        <f ca="1">OFFSET(S!$A$13,MATCH($C$2,S!$C$11:$C$47348,0),97)</f>
        <v>46.52</v>
      </c>
      <c r="N99" s="40">
        <f ca="1">OFFSET(S!$A$14,MATCH($C$2,S!$C$11:$C$47348,0),97)</f>
        <v>43.86</v>
      </c>
      <c r="O99" s="40">
        <f ca="1">OFFSET(S!$A$15,MATCH($C$2,S!$C$11:$C$47348,0),97)</f>
        <v>40.880000000000003</v>
      </c>
      <c r="P99" s="40">
        <f ca="1">OFFSET(S!$A$16,MATCH($C$2,S!$C$11:$C$47348,0),97)</f>
        <v>44.57</v>
      </c>
      <c r="Q99" s="40">
        <f ca="1">OFFSET(S!$A$17,MATCH($C$2,S!$C$11:$C$47348,0),97)</f>
        <v>47.84</v>
      </c>
      <c r="R99" s="40">
        <f ca="1">OFFSET(S!$A$18,MATCH($C$2,S!$C$11:$C$47348,0),97)</f>
        <v>48.4</v>
      </c>
      <c r="S99" s="3"/>
      <c r="T99" s="3"/>
      <c r="U99" s="3"/>
      <c r="V99" s="3"/>
      <c r="W99" s="3"/>
      <c r="X99" s="4"/>
      <c r="Y99" s="4"/>
      <c r="Z99" s="4"/>
      <c r="AA99" s="102"/>
      <c r="AB99" s="102"/>
      <c r="AC99" s="102"/>
      <c r="AD99" s="102"/>
      <c r="AE99" s="102"/>
      <c r="AF99" s="102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</row>
    <row r="100" spans="1:43">
      <c r="A100" s="7" t="s">
        <v>134</v>
      </c>
      <c r="B100" s="8">
        <f ca="1">OFFSET(Y!$A$11,MATCH($C$2,Y!$C$11:$C$48345,0),98)</f>
        <v>33.21</v>
      </c>
      <c r="C100" s="8">
        <f ca="1">OFFSET(Y!$A$12,MATCH($C$2,Y!$C$11:$C$48345,0),98)</f>
        <v>38.049999999999997</v>
      </c>
      <c r="D100" s="8">
        <f ca="1">OFFSET(Y!$A$13,MATCH($C$2,Y!$C$11:$C$48345,0),98)</f>
        <v>33.08</v>
      </c>
      <c r="E100" s="8">
        <f ca="1">OFFSET(Y!$A$14,MATCH($C$2,Y!$C$11:$C$48345,0),98)</f>
        <v>33.03</v>
      </c>
      <c r="F100" s="8">
        <f ca="1">OFFSET(Y!$A$15,MATCH($C$2,Y!$C$11:$C$48345,0),98)</f>
        <v>35.79</v>
      </c>
      <c r="G100" s="8">
        <f ca="1">OFFSET(Y!$A$16,MATCH($C$2,Y!$C$11:$C$48345,0),98)</f>
        <v>40.24</v>
      </c>
      <c r="H100" s="8">
        <f ca="1">OFFSET(Y!$A$17,MATCH($C$2,Y!$C$11:$C$48345,0),98)</f>
        <v>35.15</v>
      </c>
      <c r="I100" s="8">
        <f ca="1">OFFSET(Y!$A$18,MATCH($C$2,Y!$C$11:$C$48345,0),98)</f>
        <v>33.92</v>
      </c>
      <c r="J100" s="7" t="s">
        <v>134</v>
      </c>
      <c r="K100" s="8">
        <f ca="1">OFFSET(S!$A$11,MATCH($C$2,S!$C$11:$C$47348,0),98)</f>
        <v>36.57</v>
      </c>
      <c r="L100" s="8">
        <f ca="1">OFFSET(S!$A$12,MATCH($C$2,S!$C$11:$C$47348,0),98)</f>
        <v>36.14</v>
      </c>
      <c r="M100" s="8">
        <f ca="1">OFFSET(S!$A$13,MATCH($C$2,S!$C$11:$C$47348,0),98)</f>
        <v>33.61</v>
      </c>
      <c r="N100" s="8">
        <f ca="1">OFFSET(S!$A$14,MATCH($C$2,S!$C$11:$C$47348,0),98)</f>
        <v>31.85</v>
      </c>
      <c r="O100" s="8">
        <f ca="1">OFFSET(S!$A$15,MATCH($C$2,S!$C$11:$C$47348,0),98)</f>
        <v>29.8</v>
      </c>
      <c r="P100" s="8">
        <f ca="1">OFFSET(S!$A$16,MATCH($C$2,S!$C$11:$C$47348,0),98)</f>
        <v>34.03</v>
      </c>
      <c r="Q100" s="8">
        <f ca="1">OFFSET(S!$A$17,MATCH($C$2,S!$C$11:$C$47348,0),98)</f>
        <v>37.200000000000003</v>
      </c>
      <c r="R100" s="8">
        <f ca="1">OFFSET(S!$A$18,MATCH($C$2,S!$C$11:$C$47348,0),98)</f>
        <v>37.51</v>
      </c>
      <c r="S100" s="3"/>
      <c r="T100" s="3"/>
      <c r="U100" s="3"/>
      <c r="V100" s="3"/>
      <c r="W100" s="3"/>
      <c r="X100" s="4"/>
      <c r="Y100" s="4"/>
      <c r="Z100" s="4"/>
      <c r="AA100" s="102"/>
      <c r="AB100" s="102"/>
      <c r="AC100" s="102"/>
      <c r="AD100" s="102"/>
      <c r="AE100" s="102"/>
      <c r="AF100" s="102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</row>
    <row r="101" spans="1:43">
      <c r="A101" s="10" t="s">
        <v>135</v>
      </c>
      <c r="B101" s="39">
        <f ca="1">OFFSET(Y!$A$11,MATCH($C$2,Y!$C$11:$C$48345,0),99)</f>
        <v>34.6</v>
      </c>
      <c r="C101" s="39">
        <f ca="1">OFFSET(Y!$A$12,MATCH($C$2,Y!$C$11:$C$48345,0),99)</f>
        <v>41.6</v>
      </c>
      <c r="D101" s="39">
        <f ca="1">OFFSET(Y!$A$13,MATCH($C$2,Y!$C$11:$C$48345,0),99)</f>
        <v>33.24</v>
      </c>
      <c r="E101" s="39">
        <f ca="1">OFFSET(Y!$A$14,MATCH($C$2,Y!$C$11:$C$48345,0),99)</f>
        <v>34.42</v>
      </c>
      <c r="F101" s="39">
        <f ca="1">OFFSET(Y!$A$15,MATCH($C$2,Y!$C$11:$C$48345,0),99)</f>
        <v>38.5</v>
      </c>
      <c r="G101" s="39">
        <f ca="1">OFFSET(Y!$A$16,MATCH($C$2,Y!$C$11:$C$48345,0),99)</f>
        <v>42.95</v>
      </c>
      <c r="H101" s="39">
        <f ca="1">OFFSET(Y!$A$17,MATCH($C$2,Y!$C$11:$C$48345,0),99)</f>
        <v>35.46</v>
      </c>
      <c r="I101" s="39">
        <f ca="1">OFFSET(Y!$A$18,MATCH($C$2,Y!$C$11:$C$48345,0),99)</f>
        <v>35.85</v>
      </c>
      <c r="J101" s="12" t="s">
        <v>135</v>
      </c>
      <c r="K101" s="40">
        <f ca="1">OFFSET(S!$A$11,MATCH($C$2,S!$C$11:$C$47348,0),99)</f>
        <v>38.299999999999997</v>
      </c>
      <c r="L101" s="40">
        <f ca="1">OFFSET(S!$A$12,MATCH($C$2,S!$C$11:$C$47348,0),99)</f>
        <v>38.020000000000003</v>
      </c>
      <c r="M101" s="40">
        <f ca="1">OFFSET(S!$A$13,MATCH($C$2,S!$C$11:$C$47348,0),99)</f>
        <v>34.270000000000003</v>
      </c>
      <c r="N101" s="40">
        <f ca="1">OFFSET(S!$A$14,MATCH($C$2,S!$C$11:$C$47348,0),99)</f>
        <v>32.590000000000003</v>
      </c>
      <c r="O101" s="40">
        <f ca="1">OFFSET(S!$A$15,MATCH($C$2,S!$C$11:$C$47348,0),99)</f>
        <v>30.66</v>
      </c>
      <c r="P101" s="40">
        <f ca="1">OFFSET(S!$A$16,MATCH($C$2,S!$C$11:$C$47348,0),99)</f>
        <v>36.08</v>
      </c>
      <c r="Q101" s="40">
        <f ca="1">OFFSET(S!$A$17,MATCH($C$2,S!$C$11:$C$47348,0),99)</f>
        <v>39.090000000000003</v>
      </c>
      <c r="R101" s="40">
        <f ca="1">OFFSET(S!$A$18,MATCH($C$2,S!$C$11:$C$47348,0),99)</f>
        <v>39.89</v>
      </c>
      <c r="S101" s="3"/>
      <c r="T101" s="3"/>
      <c r="U101" s="3"/>
      <c r="V101" s="3"/>
      <c r="W101" s="3"/>
      <c r="X101" s="4"/>
      <c r="Y101" s="4"/>
      <c r="Z101" s="4"/>
      <c r="AA101" s="102"/>
      <c r="AB101" s="102"/>
      <c r="AC101" s="102"/>
      <c r="AD101" s="102"/>
      <c r="AE101" s="102"/>
      <c r="AF101" s="102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</row>
    <row r="102" spans="1:43">
      <c r="A102" s="7" t="s">
        <v>136</v>
      </c>
      <c r="B102" s="8">
        <f ca="1">OFFSET(Y!$A$11,MATCH($C$2,Y!$C$11:$C$48345,0),100)</f>
        <v>32.090000000000003</v>
      </c>
      <c r="C102" s="8">
        <f ca="1">OFFSET(Y!$A$12,MATCH($C$2,Y!$C$11:$C$48345,0),100)</f>
        <v>39.71</v>
      </c>
      <c r="D102" s="8">
        <f ca="1">OFFSET(Y!$A$13,MATCH($C$2,Y!$C$11:$C$48345,0),100)</f>
        <v>31.22</v>
      </c>
      <c r="E102" s="8">
        <f ca="1">OFFSET(Y!$A$14,MATCH($C$2,Y!$C$11:$C$48345,0),100)</f>
        <v>31.06</v>
      </c>
      <c r="F102" s="8">
        <f ca="1">OFFSET(Y!$A$15,MATCH($C$2,Y!$C$11:$C$48345,0),100)</f>
        <v>34.81</v>
      </c>
      <c r="G102" s="8">
        <f ca="1">OFFSET(Y!$A$16,MATCH($C$2,Y!$C$11:$C$48345,0),100)</f>
        <v>40.46</v>
      </c>
      <c r="H102" s="8">
        <f ca="1">OFFSET(Y!$A$17,MATCH($C$2,Y!$C$11:$C$48345,0),100)</f>
        <v>35.369999999999997</v>
      </c>
      <c r="I102" s="8">
        <f ca="1">OFFSET(Y!$A$18,MATCH($C$2,Y!$C$11:$C$48345,0),100)</f>
        <v>36.06</v>
      </c>
      <c r="J102" s="7" t="s">
        <v>136</v>
      </c>
      <c r="K102" s="8">
        <f ca="1">OFFSET(S!$A$11,MATCH($C$2,S!$C$11:$C$47348,0),100)</f>
        <v>35.31</v>
      </c>
      <c r="L102" s="8">
        <f ca="1">OFFSET(S!$A$12,MATCH($C$2,S!$C$11:$C$47348,0),100)</f>
        <v>33.049999999999997</v>
      </c>
      <c r="M102" s="8">
        <f ca="1">OFFSET(S!$A$13,MATCH($C$2,S!$C$11:$C$47348,0),100)</f>
        <v>32.11</v>
      </c>
      <c r="N102" s="8">
        <f ca="1">OFFSET(S!$A$14,MATCH($C$2,S!$C$11:$C$47348,0),100)</f>
        <v>30.65</v>
      </c>
      <c r="O102" s="8">
        <f ca="1">OFFSET(S!$A$15,MATCH($C$2,S!$C$11:$C$47348,0),100)</f>
        <v>29</v>
      </c>
      <c r="P102" s="8">
        <f ca="1">OFFSET(S!$A$16,MATCH($C$2,S!$C$11:$C$47348,0),100)</f>
        <v>33.340000000000003</v>
      </c>
      <c r="Q102" s="8">
        <f ca="1">OFFSET(S!$A$17,MATCH($C$2,S!$C$11:$C$47348,0),100)</f>
        <v>35.380000000000003</v>
      </c>
      <c r="R102" s="8">
        <f ca="1">OFFSET(S!$A$18,MATCH($C$2,S!$C$11:$C$47348,0),100)</f>
        <v>38.11</v>
      </c>
      <c r="S102" s="3"/>
      <c r="T102" s="3"/>
      <c r="U102" s="3"/>
      <c r="V102" s="3"/>
      <c r="W102" s="3"/>
      <c r="X102" s="4"/>
      <c r="Y102" s="4"/>
      <c r="Z102" s="4"/>
      <c r="AA102" s="102"/>
      <c r="AB102" s="102"/>
      <c r="AC102" s="102"/>
      <c r="AD102" s="102"/>
      <c r="AE102" s="102"/>
      <c r="AF102" s="102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</row>
    <row r="103" spans="1:43">
      <c r="A103" s="10" t="s">
        <v>19</v>
      </c>
      <c r="B103" s="16">
        <f ca="1">OFFSET(Y!$A$11,MATCH($C$2,Y!$C$11:$C$48345,0),101)</f>
        <v>24.29</v>
      </c>
      <c r="C103" s="16">
        <f ca="1">OFFSET(Y!$A$12,MATCH($C$2,Y!$C$11:$C$48345,0),101)</f>
        <v>22.16</v>
      </c>
      <c r="D103" s="16">
        <f ca="1">OFFSET(Y!$A$13,MATCH($C$2,Y!$C$11:$C$48345,0),101)</f>
        <v>19.11</v>
      </c>
      <c r="E103" s="16">
        <f ca="1">OFFSET(Y!$A$14,MATCH($C$2,Y!$C$11:$C$48345,0),101)</f>
        <v>18.59</v>
      </c>
      <c r="F103" s="16">
        <f ca="1">OFFSET(Y!$A$15,MATCH($C$2,Y!$C$11:$C$48345,0),101)</f>
        <v>19.03</v>
      </c>
      <c r="G103" s="16">
        <f ca="1">OFFSET(Y!$A$16,MATCH($C$2,Y!$C$11:$C$48345,0),101)</f>
        <v>19.690000000000001</v>
      </c>
      <c r="H103" s="16">
        <f ca="1">OFFSET(Y!$A$17,MATCH($C$2,Y!$C$11:$C$48345,0),101)</f>
        <v>18.04</v>
      </c>
      <c r="I103" s="16">
        <f ca="1">OFFSET(Y!$A$18,MATCH($C$2,Y!$C$11:$C$48345,0),101)</f>
        <v>17.190000000000001</v>
      </c>
      <c r="J103" s="12" t="s">
        <v>19</v>
      </c>
      <c r="K103" s="41">
        <f ca="1">OFFSET(S!$A$11,MATCH($C$2,S!$C$11:$C$47348,0),101)</f>
        <v>26.02</v>
      </c>
      <c r="L103" s="41">
        <f ca="1">OFFSET(S!$A$12,MATCH($C$2,S!$C$11:$C$47348,0),101)</f>
        <v>24.21</v>
      </c>
      <c r="M103" s="41">
        <f ca="1">OFFSET(S!$A$13,MATCH($C$2,S!$C$11:$C$47348,0),101)</f>
        <v>25.5</v>
      </c>
      <c r="N103" s="41">
        <f ca="1">OFFSET(S!$A$14,MATCH($C$2,S!$C$11:$C$47348,0),101)</f>
        <v>24.29</v>
      </c>
      <c r="O103" s="41">
        <f ca="1">OFFSET(S!$A$15,MATCH($C$2,S!$C$11:$C$47348,0),101)</f>
        <v>23.1</v>
      </c>
      <c r="P103" s="41">
        <f ca="1">OFFSET(S!$A$16,MATCH($C$2,S!$C$11:$C$47348,0),101)</f>
        <v>21.76</v>
      </c>
      <c r="Q103" s="41">
        <f ca="1">OFFSET(S!$A$17,MATCH($C$2,S!$C$11:$C$47348,0),101)</f>
        <v>23.45</v>
      </c>
      <c r="R103" s="41">
        <f ca="1">OFFSET(S!$A$18,MATCH($C$2,S!$C$11:$C$47348,0),101)</f>
        <v>22.16</v>
      </c>
      <c r="S103" s="3"/>
      <c r="T103" s="3"/>
      <c r="U103" s="3"/>
      <c r="V103" s="3"/>
      <c r="W103" s="3"/>
      <c r="X103" s="4"/>
      <c r="Y103" s="4"/>
      <c r="Z103" s="4"/>
      <c r="AA103" s="102"/>
      <c r="AB103" s="102"/>
      <c r="AC103" s="102"/>
      <c r="AD103" s="102"/>
      <c r="AE103" s="102"/>
      <c r="AF103" s="102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</row>
    <row r="104" spans="1:43">
      <c r="A104" s="7" t="s">
        <v>137</v>
      </c>
      <c r="B104" s="42">
        <f ca="1">OFFSET(Y!$A$11,MATCH($C$2,Y!$C$11:$C$48345,0),102)</f>
        <v>16.14</v>
      </c>
      <c r="C104" s="42">
        <f ca="1">OFFSET(Y!$A$12,MATCH($C$2,Y!$C$11:$C$48345,0),102)</f>
        <v>15.71</v>
      </c>
      <c r="D104" s="42">
        <f ca="1">OFFSET(Y!$A$13,MATCH($C$2,Y!$C$11:$C$48345,0),102)</f>
        <v>11.03</v>
      </c>
      <c r="E104" s="42">
        <f ca="1">OFFSET(Y!$A$14,MATCH($C$2,Y!$C$11:$C$48345,0),102)</f>
        <v>12.56</v>
      </c>
      <c r="F104" s="42">
        <f ca="1">OFFSET(Y!$A$15,MATCH($C$2,Y!$C$11:$C$48345,0),102)</f>
        <v>12.26</v>
      </c>
      <c r="G104" s="42">
        <f ca="1">OFFSET(Y!$A$16,MATCH($C$2,Y!$C$11:$C$48345,0),102)</f>
        <v>12.17</v>
      </c>
      <c r="H104" s="42">
        <f ca="1">OFFSET(Y!$A$17,MATCH($C$2,Y!$C$11:$C$48345,0),102)</f>
        <v>10.71</v>
      </c>
      <c r="I104" s="42">
        <f ca="1">OFFSET(Y!$A$18,MATCH($C$2,Y!$C$11:$C$48345,0),102)</f>
        <v>11.03</v>
      </c>
      <c r="J104" s="7" t="s">
        <v>137</v>
      </c>
      <c r="K104" s="42">
        <f ca="1">OFFSET(S!$A$11,MATCH($C$2,S!$C$11:$C$47348,0),102)</f>
        <v>5.39</v>
      </c>
      <c r="L104" s="42">
        <f ca="1">OFFSET(S!$A$12,MATCH($C$2,S!$C$11:$C$47348,0),102)</f>
        <v>4.88</v>
      </c>
      <c r="M104" s="42">
        <f ca="1">OFFSET(S!$A$13,MATCH($C$2,S!$C$11:$C$47348,0),102)</f>
        <v>4.0199999999999996</v>
      </c>
      <c r="N104" s="42">
        <f ca="1">OFFSET(S!$A$14,MATCH($C$2,S!$C$11:$C$47348,0),102)</f>
        <v>3.98</v>
      </c>
      <c r="O104" s="42">
        <f ca="1">OFFSET(S!$A$15,MATCH($C$2,S!$C$11:$C$47348,0),102)</f>
        <v>4.04</v>
      </c>
      <c r="P104" s="42">
        <f ca="1">OFFSET(S!$A$16,MATCH($C$2,S!$C$11:$C$47348,0),102)</f>
        <v>4.16</v>
      </c>
      <c r="Q104" s="42">
        <f ca="1">OFFSET(S!$A$17,MATCH($C$2,S!$C$11:$C$47348,0),102)</f>
        <v>3.96</v>
      </c>
      <c r="R104" s="42">
        <f ca="1">OFFSET(S!$A$18,MATCH($C$2,S!$C$11:$C$47348,0),102)</f>
        <v>4.12</v>
      </c>
      <c r="S104" s="3"/>
      <c r="T104" s="3"/>
      <c r="U104" s="3"/>
      <c r="V104" s="3"/>
      <c r="W104" s="3"/>
      <c r="X104" s="4"/>
      <c r="Y104" s="4"/>
      <c r="Z104" s="4"/>
      <c r="AA104" s="102"/>
      <c r="AB104" s="102"/>
      <c r="AC104" s="102"/>
      <c r="AD104" s="102"/>
      <c r="AE104" s="102"/>
      <c r="AF104" s="102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</row>
    <row r="105" spans="1:43">
      <c r="A105" s="10" t="s">
        <v>138</v>
      </c>
      <c r="B105" s="16">
        <f ca="1">OFFSET(Y!$A$11,MATCH($C$2,Y!$C$11:$C$48345,0),103)</f>
        <v>5.36</v>
      </c>
      <c r="C105" s="16">
        <f ca="1">OFFSET(Y!$A$12,MATCH($C$2,Y!$C$11:$C$48345,0),103)</f>
        <v>5.98</v>
      </c>
      <c r="D105" s="16">
        <f ca="1">OFFSET(Y!$A$13,MATCH($C$2,Y!$C$11:$C$48345,0),103)</f>
        <v>3.65</v>
      </c>
      <c r="E105" s="16">
        <f ca="1">OFFSET(Y!$A$14,MATCH($C$2,Y!$C$11:$C$48345,0),103)</f>
        <v>4.1500000000000004</v>
      </c>
      <c r="F105" s="16">
        <f ca="1">OFFSET(Y!$A$15,MATCH($C$2,Y!$C$11:$C$48345,0),103)</f>
        <v>4.3899999999999997</v>
      </c>
      <c r="G105" s="16">
        <f ca="1">OFFSET(Y!$A$16,MATCH($C$2,Y!$C$11:$C$48345,0),103)</f>
        <v>4.9000000000000004</v>
      </c>
      <c r="H105" s="16">
        <f ca="1">OFFSET(Y!$A$17,MATCH($C$2,Y!$C$11:$C$48345,0),103)</f>
        <v>3.77</v>
      </c>
      <c r="I105" s="16">
        <f ca="1">OFFSET(Y!$A$18,MATCH($C$2,Y!$C$11:$C$48345,0),103)</f>
        <v>3.74</v>
      </c>
      <c r="J105" s="12" t="s">
        <v>138</v>
      </c>
      <c r="K105" s="41">
        <f ca="1">OFFSET(S!$A$11,MATCH($C$2,S!$C$11:$C$47348,0),103)</f>
        <v>1.97</v>
      </c>
      <c r="L105" s="41">
        <f ca="1">OFFSET(S!$A$12,MATCH($C$2,S!$C$11:$C$47348,0),103)</f>
        <v>1.76</v>
      </c>
      <c r="M105" s="41">
        <f ca="1">OFFSET(S!$A$13,MATCH($C$2,S!$C$11:$C$47348,0),103)</f>
        <v>1.35</v>
      </c>
      <c r="N105" s="41">
        <f ca="1">OFFSET(S!$A$14,MATCH($C$2,S!$C$11:$C$47348,0),103)</f>
        <v>1.27</v>
      </c>
      <c r="O105" s="41">
        <f ca="1">OFFSET(S!$A$15,MATCH($C$2,S!$C$11:$C$47348,0),103)</f>
        <v>1.21</v>
      </c>
      <c r="P105" s="41">
        <f ca="1">OFFSET(S!$A$16,MATCH($C$2,S!$C$11:$C$47348,0),103)</f>
        <v>1.42</v>
      </c>
      <c r="Q105" s="41">
        <f ca="1">OFFSET(S!$A$17,MATCH($C$2,S!$C$11:$C$47348,0),103)</f>
        <v>1.47</v>
      </c>
      <c r="R105" s="41">
        <f ca="1">OFFSET(S!$A$18,MATCH($C$2,S!$C$11:$C$47348,0),103)</f>
        <v>1.55</v>
      </c>
      <c r="S105" s="3"/>
      <c r="T105" s="3"/>
      <c r="U105" s="3"/>
      <c r="V105" s="3"/>
      <c r="W105" s="3"/>
      <c r="X105" s="4"/>
      <c r="Y105" s="4"/>
      <c r="Z105" s="4"/>
      <c r="AA105" s="102"/>
      <c r="AB105" s="102"/>
      <c r="AC105" s="102"/>
      <c r="AD105" s="102"/>
      <c r="AE105" s="102"/>
      <c r="AF105" s="102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</row>
    <row r="106" spans="1:43">
      <c r="A106" s="7" t="s">
        <v>139</v>
      </c>
      <c r="B106" s="42">
        <f ca="1">OFFSET(Y!$A$11,MATCH($C$2,Y!$C$11:$C$48345,0),104)</f>
        <v>5.58</v>
      </c>
      <c r="C106" s="42">
        <f ca="1">OFFSET(Y!$A$12,MATCH($C$2,Y!$C$11:$C$48345,0),104)</f>
        <v>6.53</v>
      </c>
      <c r="D106" s="42">
        <f ca="1">OFFSET(Y!$A$13,MATCH($C$2,Y!$C$11:$C$48345,0),104)</f>
        <v>3.68</v>
      </c>
      <c r="E106" s="42">
        <f ca="1">OFFSET(Y!$A$14,MATCH($C$2,Y!$C$11:$C$48345,0),104)</f>
        <v>4.2699999999999996</v>
      </c>
      <c r="F106" s="42">
        <f ca="1">OFFSET(Y!$A$15,MATCH($C$2,Y!$C$11:$C$48345,0),104)</f>
        <v>4.58</v>
      </c>
      <c r="G106" s="42">
        <f ca="1">OFFSET(Y!$A$16,MATCH($C$2,Y!$C$11:$C$48345,0),104)</f>
        <v>5.23</v>
      </c>
      <c r="H106" s="42">
        <f ca="1">OFFSET(Y!$A$17,MATCH($C$2,Y!$C$11:$C$48345,0),104)</f>
        <v>3.8</v>
      </c>
      <c r="I106" s="42">
        <f ca="1">OFFSET(Y!$A$18,MATCH($C$2,Y!$C$11:$C$48345,0),104)</f>
        <v>3.95</v>
      </c>
      <c r="J106" s="7" t="s">
        <v>139</v>
      </c>
      <c r="K106" s="42">
        <f ca="1">OFFSET(S!$A$11,MATCH($C$2,S!$C$11:$C$47348,0),104)</f>
        <v>2.06</v>
      </c>
      <c r="L106" s="42">
        <f ca="1">OFFSET(S!$A$12,MATCH($C$2,S!$C$11:$C$47348,0),104)</f>
        <v>1.86</v>
      </c>
      <c r="M106" s="42">
        <f ca="1">OFFSET(S!$A$13,MATCH($C$2,S!$C$11:$C$47348,0),104)</f>
        <v>1.38</v>
      </c>
      <c r="N106" s="42">
        <f ca="1">OFFSET(S!$A$14,MATCH($C$2,S!$C$11:$C$47348,0),104)</f>
        <v>1.3</v>
      </c>
      <c r="O106" s="42">
        <f ca="1">OFFSET(S!$A$15,MATCH($C$2,S!$C$11:$C$47348,0),104)</f>
        <v>1.24</v>
      </c>
      <c r="P106" s="42">
        <f ca="1">OFFSET(S!$A$16,MATCH($C$2,S!$C$11:$C$47348,0),104)</f>
        <v>1.5</v>
      </c>
      <c r="Q106" s="42">
        <f ca="1">OFFSET(S!$A$17,MATCH($C$2,S!$C$11:$C$47348,0),104)</f>
        <v>1.55</v>
      </c>
      <c r="R106" s="42">
        <f ca="1">OFFSET(S!$A$18,MATCH($C$2,S!$C$11:$C$47348,0),104)</f>
        <v>1.65</v>
      </c>
      <c r="S106" s="3"/>
      <c r="T106" s="3"/>
      <c r="U106" s="3"/>
      <c r="V106" s="3"/>
      <c r="W106" s="3"/>
      <c r="X106" s="4"/>
      <c r="Y106" s="4"/>
      <c r="Z106" s="4"/>
      <c r="AA106" s="102"/>
      <c r="AB106" s="102"/>
      <c r="AC106" s="102"/>
      <c r="AD106" s="102"/>
      <c r="AE106" s="102"/>
      <c r="AF106" s="102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</row>
    <row r="107" spans="1:43">
      <c r="A107" s="10" t="s">
        <v>8</v>
      </c>
      <c r="B107" s="39">
        <f ca="1">OFFSET(Y!$A$11,MATCH($C$2,Y!$C$11:$C$48345,0),105)</f>
        <v>22.3</v>
      </c>
      <c r="C107" s="39">
        <f ca="1">OFFSET(Y!$A$12,MATCH($C$2,Y!$C$11:$C$48345,0),105)</f>
        <v>30.23</v>
      </c>
      <c r="D107" s="39">
        <f ca="1">OFFSET(Y!$A$13,MATCH($C$2,Y!$C$11:$C$48345,0),105)</f>
        <v>18.37</v>
      </c>
      <c r="E107" s="39">
        <f ca="1">OFFSET(Y!$A$14,MATCH($C$2,Y!$C$11:$C$48345,0),105)</f>
        <v>20.74</v>
      </c>
      <c r="F107" s="39">
        <f ca="1">OFFSET(Y!$A$15,MATCH($C$2,Y!$C$11:$C$48345,0),105)</f>
        <v>21.94</v>
      </c>
      <c r="G107" s="39">
        <f ca="1">OFFSET(Y!$A$16,MATCH($C$2,Y!$C$11:$C$48345,0),105)</f>
        <v>26.69</v>
      </c>
      <c r="H107" s="39">
        <f ca="1">OFFSET(Y!$A$17,MATCH($C$2,Y!$C$11:$C$48345,0),105)</f>
        <v>22.16</v>
      </c>
      <c r="I107" s="39">
        <f ca="1">OFFSET(Y!$A$18,MATCH($C$2,Y!$C$11:$C$48345,0),105)</f>
        <v>25.36</v>
      </c>
      <c r="J107" s="12" t="s">
        <v>8</v>
      </c>
      <c r="K107" s="40">
        <f ca="1">OFFSET(S!$A$11,MATCH($C$2,S!$C$11:$C$47348,0),105)</f>
        <v>7.57</v>
      </c>
      <c r="L107" s="40">
        <f ca="1">OFFSET(S!$A$12,MATCH($C$2,S!$C$11:$C$47348,0),105)</f>
        <v>6.49</v>
      </c>
      <c r="M107" s="40">
        <f ca="1">OFFSET(S!$A$13,MATCH($C$2,S!$C$11:$C$47348,0),105)</f>
        <v>5.19</v>
      </c>
      <c r="N107" s="40">
        <f ca="1">OFFSET(S!$A$14,MATCH($C$2,S!$C$11:$C$47348,0),105)</f>
        <v>5.14</v>
      </c>
      <c r="O107" s="40">
        <f ca="1">OFFSET(S!$A$15,MATCH($C$2,S!$C$11:$C$47348,0),105)</f>
        <v>5.23</v>
      </c>
      <c r="P107" s="40">
        <f ca="1">OFFSET(S!$A$16,MATCH($C$2,S!$C$11:$C$47348,0),105)</f>
        <v>6.14</v>
      </c>
      <c r="Q107" s="40">
        <f ca="1">OFFSET(S!$A$17,MATCH($C$2,S!$C$11:$C$47348,0),105)</f>
        <v>6.14</v>
      </c>
      <c r="R107" s="40">
        <f ca="1">OFFSET(S!$A$18,MATCH($C$2,S!$C$11:$C$47348,0),105)</f>
        <v>7.33</v>
      </c>
      <c r="S107" s="3"/>
      <c r="T107" s="3"/>
      <c r="U107" s="3"/>
      <c r="V107" s="3"/>
      <c r="W107" s="3"/>
      <c r="X107" s="4"/>
      <c r="Y107" s="4"/>
      <c r="Z107" s="4"/>
      <c r="AA107" s="102"/>
      <c r="AB107" s="102"/>
      <c r="AC107" s="102"/>
      <c r="AD107" s="102"/>
      <c r="AE107" s="102"/>
      <c r="AF107" s="102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</row>
    <row r="108" spans="1:43">
      <c r="A108" s="7" t="s">
        <v>140</v>
      </c>
      <c r="B108" s="8">
        <f ca="1">OFFSET(Y!$A$11,MATCH($C$2,Y!$C$11:$C$48345,0),106)</f>
        <v>18.399999999999999</v>
      </c>
      <c r="C108" s="8">
        <f ca="1">OFFSET(Y!$A$12,MATCH($C$2,Y!$C$11:$C$48345,0),106)</f>
        <v>25.3</v>
      </c>
      <c r="D108" s="8">
        <f ca="1">OFFSET(Y!$A$13,MATCH($C$2,Y!$C$11:$C$48345,0),106)</f>
        <v>15.98</v>
      </c>
      <c r="E108" s="8">
        <f ca="1">OFFSET(Y!$A$14,MATCH($C$2,Y!$C$11:$C$48345,0),106)</f>
        <v>18.350000000000001</v>
      </c>
      <c r="F108" s="8">
        <f ca="1">OFFSET(Y!$A$15,MATCH($C$2,Y!$C$11:$C$48345,0),106)</f>
        <v>19.48</v>
      </c>
      <c r="G108" s="8">
        <f ca="1">OFFSET(Y!$A$16,MATCH($C$2,Y!$C$11:$C$48345,0),106)</f>
        <v>23.63</v>
      </c>
      <c r="H108" s="8">
        <f ca="1">OFFSET(Y!$A$17,MATCH($C$2,Y!$C$11:$C$48345,0),106)</f>
        <v>19.170000000000002</v>
      </c>
      <c r="I108" s="8">
        <f ca="1">OFFSET(Y!$A$18,MATCH($C$2,Y!$C$11:$C$48345,0),106)</f>
        <v>21.12</v>
      </c>
      <c r="J108" s="7" t="s">
        <v>140</v>
      </c>
      <c r="K108" s="8">
        <f ca="1">OFFSET(S!$A$11,MATCH($C$2,S!$C$11:$C$47348,0),106)</f>
        <v>5.68</v>
      </c>
      <c r="L108" s="8">
        <f ca="1">OFFSET(S!$A$12,MATCH($C$2,S!$C$11:$C$47348,0),106)</f>
        <v>4.95</v>
      </c>
      <c r="M108" s="8">
        <f ca="1">OFFSET(S!$A$13,MATCH($C$2,S!$C$11:$C$47348,0),106)</f>
        <v>4.25</v>
      </c>
      <c r="N108" s="8">
        <f ca="1">OFFSET(S!$A$14,MATCH($C$2,S!$C$11:$C$47348,0),106)</f>
        <v>4.26</v>
      </c>
      <c r="O108" s="8">
        <f ca="1">OFFSET(S!$A$15,MATCH($C$2,S!$C$11:$C$47348,0),106)</f>
        <v>4.08</v>
      </c>
      <c r="P108" s="8">
        <f ca="1">OFFSET(S!$A$16,MATCH($C$2,S!$C$11:$C$47348,0),106)</f>
        <v>4.8099999999999996</v>
      </c>
      <c r="Q108" s="8">
        <f ca="1">OFFSET(S!$A$17,MATCH($C$2,S!$C$11:$C$47348,0),106)</f>
        <v>5.07</v>
      </c>
      <c r="R108" s="8">
        <f ca="1">OFFSET(S!$A$18,MATCH($C$2,S!$C$11:$C$47348,0),106)</f>
        <v>6.04</v>
      </c>
      <c r="S108" s="3"/>
      <c r="T108" s="3"/>
      <c r="U108" s="3"/>
      <c r="V108" s="3"/>
      <c r="W108" s="3"/>
      <c r="X108" s="4"/>
      <c r="Y108" s="4"/>
      <c r="Z108" s="4"/>
      <c r="AA108" s="102"/>
      <c r="AB108" s="102"/>
      <c r="AC108" s="102"/>
      <c r="AD108" s="102"/>
      <c r="AE108" s="102"/>
      <c r="AF108" s="102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</row>
    <row r="109" spans="1:43">
      <c r="A109" s="10" t="s">
        <v>9</v>
      </c>
      <c r="B109" s="16">
        <f ca="1">OFFSET(Y!$A$11,MATCH($C$2,Y!$C$11:$C$48345,0),107)</f>
        <v>5.18</v>
      </c>
      <c r="C109" s="16">
        <f ca="1">OFFSET(Y!$A$12,MATCH($C$2,Y!$C$11:$C$48345,0),107)</f>
        <v>6.24</v>
      </c>
      <c r="D109" s="16">
        <f ca="1">OFFSET(Y!$A$13,MATCH($C$2,Y!$C$11:$C$48345,0),107)</f>
        <v>3.45</v>
      </c>
      <c r="E109" s="16">
        <f ca="1">OFFSET(Y!$A$14,MATCH($C$2,Y!$C$11:$C$48345,0),107)</f>
        <v>3.86</v>
      </c>
      <c r="F109" s="16">
        <f ca="1">OFFSET(Y!$A$15,MATCH($C$2,Y!$C$11:$C$48345,0),107)</f>
        <v>4.1399999999999997</v>
      </c>
      <c r="G109" s="16">
        <f ca="1">OFFSET(Y!$A$16,MATCH($C$2,Y!$C$11:$C$48345,0),107)</f>
        <v>4.93</v>
      </c>
      <c r="H109" s="16">
        <f ca="1">OFFSET(Y!$A$17,MATCH($C$2,Y!$C$11:$C$48345,0),107)</f>
        <v>3.79</v>
      </c>
      <c r="I109" s="16">
        <f ca="1">OFFSET(Y!$A$18,MATCH($C$2,Y!$C$11:$C$48345,0),107)</f>
        <v>3.97</v>
      </c>
      <c r="J109" s="12" t="s">
        <v>9</v>
      </c>
      <c r="K109" s="41">
        <f ca="1">OFFSET(S!$A$11,MATCH($C$2,S!$C$11:$C$47348,0),107)</f>
        <v>1.9</v>
      </c>
      <c r="L109" s="41">
        <f ca="1">OFFSET(S!$A$12,MATCH($C$2,S!$C$11:$C$47348,0),107)</f>
        <v>1.61</v>
      </c>
      <c r="M109" s="41">
        <f ca="1">OFFSET(S!$A$13,MATCH($C$2,S!$C$11:$C$47348,0),107)</f>
        <v>1.29</v>
      </c>
      <c r="N109" s="41">
        <f ca="1">OFFSET(S!$A$14,MATCH($C$2,S!$C$11:$C$47348,0),107)</f>
        <v>1.22</v>
      </c>
      <c r="O109" s="41">
        <f ca="1">OFFSET(S!$A$15,MATCH($C$2,S!$C$11:$C$47348,0),107)</f>
        <v>1.17</v>
      </c>
      <c r="P109" s="41">
        <f ca="1">OFFSET(S!$A$16,MATCH($C$2,S!$C$11:$C$47348,0),107)</f>
        <v>1.39</v>
      </c>
      <c r="Q109" s="41">
        <f ca="1">OFFSET(S!$A$17,MATCH($C$2,S!$C$11:$C$47348,0),107)</f>
        <v>1.4</v>
      </c>
      <c r="R109" s="41">
        <f ca="1">OFFSET(S!$A$18,MATCH($C$2,S!$C$11:$C$47348,0),107)</f>
        <v>1.57</v>
      </c>
      <c r="S109" s="3"/>
      <c r="T109" s="3"/>
      <c r="U109" s="3"/>
      <c r="V109" s="3"/>
      <c r="W109" s="3"/>
      <c r="X109" s="4"/>
      <c r="Y109" s="4"/>
      <c r="Z109" s="4"/>
      <c r="AA109" s="102"/>
      <c r="AB109" s="102"/>
      <c r="AC109" s="102"/>
      <c r="AD109" s="102"/>
      <c r="AE109" s="102"/>
      <c r="AF109" s="102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</row>
    <row r="110" spans="1:43">
      <c r="A110" s="7" t="s">
        <v>141</v>
      </c>
      <c r="B110" s="9">
        <f ca="1">OFFSET(Y!$A$11,MATCH($C$2,Y!$C$11:$C$48345,0),108)</f>
        <v>2.77</v>
      </c>
      <c r="C110" s="9">
        <f ca="1">OFFSET(Y!$A$12,MATCH($C$2,Y!$C$11:$C$48345,0),108)</f>
        <v>42.42</v>
      </c>
      <c r="D110" s="9">
        <f ca="1">OFFSET(Y!$A$13,MATCH($C$2,Y!$C$11:$C$48345,0),108)</f>
        <v>-11.2</v>
      </c>
      <c r="E110" s="9">
        <f ca="1">OFFSET(Y!$A$14,MATCH($C$2,Y!$C$11:$C$48345,0),108)</f>
        <v>2.59</v>
      </c>
      <c r="F110" s="9">
        <f ca="1">OFFSET(Y!$A$15,MATCH($C$2,Y!$C$11:$C$48345,0),108)</f>
        <v>-7.0000000000000007E-2</v>
      </c>
      <c r="G110" s="9">
        <f ca="1">OFFSET(Y!$A$16,MATCH($C$2,Y!$C$11:$C$48345,0),108)</f>
        <v>18.63</v>
      </c>
      <c r="H110" s="9">
        <f ca="1">OFFSET(Y!$A$17,MATCH($C$2,Y!$C$11:$C$48345,0),108)</f>
        <v>3.36</v>
      </c>
      <c r="I110" s="9">
        <f ca="1">OFFSET(Y!$A$18,MATCH($C$2,Y!$C$11:$C$48345,0),108)</f>
        <v>26.79</v>
      </c>
      <c r="J110" s="7" t="s">
        <v>141</v>
      </c>
      <c r="K110" s="9">
        <f ca="1">OFFSET(S!$A$11,MATCH($C$2,S!$C$11:$C$47348,0),108)</f>
        <v>33.22</v>
      </c>
      <c r="L110" s="9">
        <f ca="1">OFFSET(S!$A$12,MATCH($C$2,S!$C$11:$C$47348,0),108)</f>
        <v>17.3</v>
      </c>
      <c r="M110" s="9">
        <f ca="1">OFFSET(S!$A$13,MATCH($C$2,S!$C$11:$C$47348,0),108)</f>
        <v>1.66</v>
      </c>
      <c r="N110" s="9">
        <f ca="1">OFFSET(S!$A$14,MATCH($C$2,S!$C$11:$C$47348,0),108)</f>
        <v>-3.57</v>
      </c>
      <c r="O110" s="9">
        <f ca="1">OFFSET(S!$A$15,MATCH($C$2,S!$C$11:$C$47348,0),108)</f>
        <v>-4.1100000000000003</v>
      </c>
      <c r="P110" s="9">
        <f ca="1">OFFSET(S!$A$16,MATCH($C$2,S!$C$11:$C$47348,0),108)</f>
        <v>6.11</v>
      </c>
      <c r="Q110" s="9">
        <f ca="1">OFFSET(S!$A$17,MATCH($C$2,S!$C$11:$C$47348,0),108)</f>
        <v>15</v>
      </c>
      <c r="R110" s="9">
        <f ca="1">OFFSET(S!$A$18,MATCH($C$2,S!$C$11:$C$47348,0),108)</f>
        <v>20.059999999999999</v>
      </c>
      <c r="S110" s="3"/>
      <c r="T110" s="3"/>
      <c r="U110" s="3"/>
      <c r="V110" s="3"/>
      <c r="W110" s="3"/>
      <c r="X110" s="4"/>
      <c r="Y110" s="4"/>
      <c r="Z110" s="4"/>
      <c r="AA110" s="102"/>
      <c r="AB110" s="102"/>
      <c r="AC110" s="102"/>
      <c r="AD110" s="102"/>
      <c r="AE110" s="102"/>
      <c r="AF110" s="102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</row>
    <row r="111" spans="1:43">
      <c r="A111" s="10" t="s">
        <v>142</v>
      </c>
      <c r="B111" s="44">
        <f ca="1">OFFSET(Y!$A$11,MATCH($C$2,Y!$C$11:$C$48345,0),109)</f>
        <v>-10.29</v>
      </c>
      <c r="C111" s="44">
        <f ca="1">OFFSET(Y!$A$12,MATCH($C$2,Y!$C$11:$C$48345,0),109)</f>
        <v>63.82</v>
      </c>
      <c r="D111" s="44">
        <f ca="1">OFFSET(Y!$A$13,MATCH($C$2,Y!$C$11:$C$48345,0),109)</f>
        <v>-11.07</v>
      </c>
      <c r="E111" s="44">
        <f ca="1">OFFSET(Y!$A$14,MATCH($C$2,Y!$C$11:$C$48345,0),109)</f>
        <v>-5.31</v>
      </c>
      <c r="F111" s="44">
        <f ca="1">OFFSET(Y!$A$15,MATCH($C$2,Y!$C$11:$C$48345,0),109)</f>
        <v>-11.12</v>
      </c>
      <c r="G111" s="44">
        <f ca="1">OFFSET(Y!$A$16,MATCH($C$2,Y!$C$11:$C$48345,0),109)</f>
        <v>35.79</v>
      </c>
      <c r="H111" s="44">
        <f ca="1">OFFSET(Y!$A$17,MATCH($C$2,Y!$C$11:$C$48345,0),109)</f>
        <v>7.13</v>
      </c>
      <c r="I111" s="44">
        <f ca="1">OFFSET(Y!$A$18,MATCH($C$2,Y!$C$11:$C$48345,0),109)</f>
        <v>64.91</v>
      </c>
      <c r="J111" s="12" t="s">
        <v>142</v>
      </c>
      <c r="K111" s="45">
        <f ca="1">OFFSET(S!$A$11,MATCH($C$2,S!$C$11:$C$47348,0),109)</f>
        <v>63.51</v>
      </c>
      <c r="L111" s="45">
        <f ca="1">OFFSET(S!$A$12,MATCH($C$2,S!$C$11:$C$47348,0),109)</f>
        <v>24.57</v>
      </c>
      <c r="M111" s="45">
        <f ca="1">OFFSET(S!$A$13,MATCH($C$2,S!$C$11:$C$47348,0),109)</f>
        <v>-8.15</v>
      </c>
      <c r="N111" s="45">
        <f ca="1">OFFSET(S!$A$14,MATCH($C$2,S!$C$11:$C$47348,0),109)</f>
        <v>-18.12</v>
      </c>
      <c r="O111" s="45">
        <f ca="1">OFFSET(S!$A$15,MATCH($C$2,S!$C$11:$C$47348,0),109)</f>
        <v>-24.82</v>
      </c>
      <c r="P111" s="45">
        <f ca="1">OFFSET(S!$A$16,MATCH($C$2,S!$C$11:$C$47348,0),109)</f>
        <v>-6.94</v>
      </c>
      <c r="Q111" s="45">
        <f ca="1">OFFSET(S!$A$17,MATCH($C$2,S!$C$11:$C$47348,0),109)</f>
        <v>12.92</v>
      </c>
      <c r="R111" s="45">
        <f ca="1">OFFSET(S!$A$18,MATCH($C$2,S!$C$11:$C$47348,0),109)</f>
        <v>18.649999999999999</v>
      </c>
      <c r="S111" s="3"/>
      <c r="T111" s="3"/>
      <c r="U111" s="3"/>
      <c r="V111" s="3"/>
      <c r="W111" s="3"/>
      <c r="X111" s="4"/>
      <c r="Y111" s="4"/>
      <c r="Z111" s="4"/>
      <c r="AA111" s="102"/>
      <c r="AB111" s="102"/>
      <c r="AC111" s="102"/>
      <c r="AD111" s="102"/>
      <c r="AE111" s="102"/>
      <c r="AF111" s="102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</row>
    <row r="112" spans="1:43">
      <c r="A112" s="7" t="s">
        <v>143</v>
      </c>
      <c r="B112" s="9">
        <f ca="1">OFFSET(Y!$A$11,MATCH($C$2,Y!$C$11:$C$48345,0),110)</f>
        <v>-14.52</v>
      </c>
      <c r="C112" s="9">
        <f ca="1">OFFSET(Y!$A$12,MATCH($C$2,Y!$C$11:$C$48345,0),110)</f>
        <v>78.239999999999995</v>
      </c>
      <c r="D112" s="9">
        <f ca="1">OFFSET(Y!$A$13,MATCH($C$2,Y!$C$11:$C$48345,0),110)</f>
        <v>-14.25</v>
      </c>
      <c r="E112" s="9">
        <f ca="1">OFFSET(Y!$A$14,MATCH($C$2,Y!$C$11:$C$48345,0),110)</f>
        <v>-8.2799999999999994</v>
      </c>
      <c r="F112" s="9">
        <f ca="1">OFFSET(Y!$A$15,MATCH($C$2,Y!$C$11:$C$48345,0),110)</f>
        <v>-10.43</v>
      </c>
      <c r="G112" s="9">
        <f ca="1">OFFSET(Y!$A$16,MATCH($C$2,Y!$C$11:$C$48345,0),110)</f>
        <v>43.69</v>
      </c>
      <c r="H112" s="9">
        <f ca="1">OFFSET(Y!$A$17,MATCH($C$2,Y!$C$11:$C$48345,0),110)</f>
        <v>2.2200000000000002</v>
      </c>
      <c r="I112" s="9">
        <f ca="1">OFFSET(Y!$A$18,MATCH($C$2,Y!$C$11:$C$48345,0),110)</f>
        <v>79.86</v>
      </c>
      <c r="J112" s="7" t="s">
        <v>143</v>
      </c>
      <c r="K112" s="9">
        <f ca="1">OFFSET(S!$A$11,MATCH($C$2,S!$C$11:$C$47348,0),110)</f>
        <v>66.400000000000006</v>
      </c>
      <c r="L112" s="9">
        <f ca="1">OFFSET(S!$A$12,MATCH($C$2,S!$C$11:$C$47348,0),110)</f>
        <v>23.6</v>
      </c>
      <c r="M112" s="9">
        <f ca="1">OFFSET(S!$A$13,MATCH($C$2,S!$C$11:$C$47348,0),110)</f>
        <v>-10.87</v>
      </c>
      <c r="N112" s="9">
        <f ca="1">OFFSET(S!$A$14,MATCH($C$2,S!$C$11:$C$47348,0),110)</f>
        <v>-21.22</v>
      </c>
      <c r="O112" s="9">
        <f ca="1">OFFSET(S!$A$15,MATCH($C$2,S!$C$11:$C$47348,0),110)</f>
        <v>-34.97</v>
      </c>
      <c r="P112" s="9">
        <f ca="1">OFFSET(S!$A$16,MATCH($C$2,S!$C$11:$C$47348,0),110)</f>
        <v>-7.71</v>
      </c>
      <c r="Q112" s="9">
        <f ca="1">OFFSET(S!$A$17,MATCH($C$2,S!$C$11:$C$47348,0),110)</f>
        <v>14.23</v>
      </c>
      <c r="R112" s="9">
        <f ca="1">OFFSET(S!$A$18,MATCH($C$2,S!$C$11:$C$47348,0),110)</f>
        <v>21.3</v>
      </c>
      <c r="S112" s="3"/>
      <c r="T112" s="3"/>
      <c r="U112" s="3"/>
      <c r="V112" s="3"/>
      <c r="W112" s="3"/>
      <c r="X112" s="4"/>
      <c r="Y112" s="4"/>
      <c r="Z112" s="4"/>
      <c r="AA112" s="102"/>
      <c r="AB112" s="102"/>
      <c r="AC112" s="102"/>
      <c r="AD112" s="102"/>
      <c r="AE112" s="102"/>
      <c r="AF112" s="102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</row>
    <row r="113" spans="1:43">
      <c r="A113" s="10" t="s">
        <v>144</v>
      </c>
      <c r="B113" s="44">
        <f ca="1">OFFSET(Y!$A$11,MATCH($C$2,Y!$C$11:$C$48345,0),111)</f>
        <v>-16.96</v>
      </c>
      <c r="C113" s="44">
        <f ca="1">OFFSET(Y!$A$12,MATCH($C$2,Y!$C$11:$C$48345,0),111)</f>
        <v>81.14</v>
      </c>
      <c r="D113" s="44">
        <f ca="1">OFFSET(Y!$A$13,MATCH($C$2,Y!$C$11:$C$48345,0),111)</f>
        <v>-10.72</v>
      </c>
      <c r="E113" s="44">
        <f ca="1">OFFSET(Y!$A$14,MATCH($C$2,Y!$C$11:$C$48345,0),111)</f>
        <v>-8.4700000000000006</v>
      </c>
      <c r="F113" s="44">
        <f ca="1">OFFSET(Y!$A$15,MATCH($C$2,Y!$C$11:$C$48345,0),111)</f>
        <v>-14.04</v>
      </c>
      <c r="G113" s="44">
        <f ca="1">OFFSET(Y!$A$16,MATCH($C$2,Y!$C$11:$C$48345,0),111)</f>
        <v>35.729999999999997</v>
      </c>
      <c r="H113" s="44">
        <f ca="1">OFFSET(Y!$A$17,MATCH($C$2,Y!$C$11:$C$48345,0),111)</f>
        <v>1.36</v>
      </c>
      <c r="I113" s="44">
        <f ca="1">OFFSET(Y!$A$18,MATCH($C$2,Y!$C$11:$C$48345,0),111)</f>
        <v>95.34</v>
      </c>
      <c r="J113" s="12" t="s">
        <v>144</v>
      </c>
      <c r="K113" s="45">
        <f ca="1">OFFSET(S!$A$11,MATCH($C$2,S!$C$11:$C$47348,0),111)</f>
        <v>62.21</v>
      </c>
      <c r="L113" s="45">
        <f ca="1">OFFSET(S!$A$12,MATCH($C$2,S!$C$11:$C$47348,0),111)</f>
        <v>16.309999999999999</v>
      </c>
      <c r="M113" s="45">
        <f ca="1">OFFSET(S!$A$13,MATCH($C$2,S!$C$11:$C$47348,0),111)</f>
        <v>-7.73</v>
      </c>
      <c r="N113" s="45">
        <f ca="1">OFFSET(S!$A$14,MATCH($C$2,S!$C$11:$C$47348,0),111)</f>
        <v>-22.45</v>
      </c>
      <c r="O113" s="45">
        <f ca="1">OFFSET(S!$A$15,MATCH($C$2,S!$C$11:$C$47348,0),111)</f>
        <v>-35.25</v>
      </c>
      <c r="P113" s="45">
        <f ca="1">OFFSET(S!$A$16,MATCH($C$2,S!$C$11:$C$47348,0),111)</f>
        <v>-10.75</v>
      </c>
      <c r="Q113" s="45">
        <f ca="1">OFFSET(S!$A$17,MATCH($C$2,S!$C$11:$C$47348,0),111)</f>
        <v>7.77</v>
      </c>
      <c r="R113" s="45">
        <f ca="1">OFFSET(S!$A$18,MATCH($C$2,S!$C$11:$C$47348,0),111)</f>
        <v>24.66</v>
      </c>
      <c r="S113" s="3"/>
      <c r="T113" s="3"/>
      <c r="U113" s="3"/>
      <c r="V113" s="3"/>
      <c r="W113" s="3"/>
      <c r="X113" s="4"/>
      <c r="Y113" s="4"/>
      <c r="Z113" s="4"/>
      <c r="AA113" s="102"/>
      <c r="AB113" s="102"/>
      <c r="AC113" s="102"/>
      <c r="AD113" s="102"/>
      <c r="AE113" s="102"/>
      <c r="AF113" s="102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</row>
    <row r="114" spans="1:43">
      <c r="A114" s="7" t="s">
        <v>145</v>
      </c>
      <c r="B114" s="9">
        <f ca="1">OFFSET(Y!$A$11,MATCH($C$2,Y!$C$11:$C$48345,0),112)</f>
        <v>8.58</v>
      </c>
      <c r="C114" s="9">
        <f ca="1">OFFSET(Y!$A$12,MATCH($C$2,Y!$C$11:$C$48345,0),112)</f>
        <v>21.44</v>
      </c>
      <c r="D114" s="9">
        <f ca="1">OFFSET(Y!$A$13,MATCH($C$2,Y!$C$11:$C$48345,0),112)</f>
        <v>6.82</v>
      </c>
      <c r="E114" s="9">
        <f ca="1">OFFSET(Y!$A$14,MATCH($C$2,Y!$C$11:$C$48345,0),112)</f>
        <v>-2.0299999999999998</v>
      </c>
      <c r="F114" s="9">
        <f ca="1">OFFSET(Y!$A$15,MATCH($C$2,Y!$C$11:$C$48345,0),112)</f>
        <v>-3.8</v>
      </c>
      <c r="G114" s="9">
        <f ca="1">OFFSET(Y!$A$16,MATCH($C$2,Y!$C$11:$C$48345,0),112)</f>
        <v>13.01</v>
      </c>
      <c r="H114" s="9">
        <f ca="1">OFFSET(Y!$A$17,MATCH($C$2,Y!$C$11:$C$48345,0),112)</f>
        <v>4.0999999999999996</v>
      </c>
      <c r="I114" s="9">
        <f ca="1">OFFSET(Y!$A$18,MATCH($C$2,Y!$C$11:$C$48345,0),112)</f>
        <v>22.99</v>
      </c>
      <c r="J114" s="7" t="s">
        <v>145</v>
      </c>
      <c r="K114" s="9">
        <f ca="1">OFFSET(S!$A$11,MATCH($C$2,S!$C$11:$C$47348,0),112)</f>
        <v>19.3</v>
      </c>
      <c r="L114" s="9">
        <f ca="1">OFFSET(S!$A$12,MATCH($C$2,S!$C$11:$C$47348,0),112)</f>
        <v>14.03</v>
      </c>
      <c r="M114" s="9">
        <f ca="1">OFFSET(S!$A$13,MATCH($C$2,S!$C$11:$C$47348,0),112)</f>
        <v>12.25</v>
      </c>
      <c r="N114" s="9">
        <f ca="1">OFFSET(S!$A$14,MATCH($C$2,S!$C$11:$C$47348,0),112)</f>
        <v>8.58</v>
      </c>
      <c r="O114" s="9">
        <f ca="1">OFFSET(S!$A$15,MATCH($C$2,S!$C$11:$C$47348,0),112)</f>
        <v>12.28</v>
      </c>
      <c r="P114" s="9">
        <f ca="1">OFFSET(S!$A$16,MATCH($C$2,S!$C$11:$C$47348,0),112)</f>
        <v>15.47</v>
      </c>
      <c r="Q114" s="9">
        <f ca="1">OFFSET(S!$A$17,MATCH($C$2,S!$C$11:$C$47348,0),112)</f>
        <v>20.079999999999998</v>
      </c>
      <c r="R114" s="9">
        <f ca="1">OFFSET(S!$A$18,MATCH($C$2,S!$C$11:$C$47348,0),112)</f>
        <v>21.44</v>
      </c>
      <c r="S114" s="3"/>
      <c r="T114" s="3"/>
      <c r="U114" s="3"/>
      <c r="V114" s="3"/>
      <c r="W114" s="3"/>
      <c r="X114" s="4"/>
      <c r="Y114" s="4"/>
      <c r="Z114" s="4"/>
      <c r="AA114" s="102"/>
      <c r="AB114" s="102"/>
      <c r="AC114" s="102"/>
      <c r="AD114" s="102"/>
      <c r="AE114" s="102"/>
      <c r="AF114" s="102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</row>
    <row r="115" spans="1:43">
      <c r="A115" s="10" t="s">
        <v>146</v>
      </c>
      <c r="B115" s="44">
        <f ca="1">OFFSET(Y!$A$11,MATCH($C$2,Y!$C$11:$C$48345,0),113)</f>
        <v>9.66</v>
      </c>
      <c r="C115" s="44">
        <f ca="1">OFFSET(Y!$A$12,MATCH($C$2,Y!$C$11:$C$48345,0),113)</f>
        <v>15.97</v>
      </c>
      <c r="D115" s="44">
        <f ca="1">OFFSET(Y!$A$13,MATCH($C$2,Y!$C$11:$C$48345,0),113)</f>
        <v>3.93</v>
      </c>
      <c r="E115" s="44">
        <f ca="1">OFFSET(Y!$A$14,MATCH($C$2,Y!$C$11:$C$48345,0),113)</f>
        <v>-2.2000000000000002</v>
      </c>
      <c r="F115" s="44">
        <f ca="1">OFFSET(Y!$A$15,MATCH($C$2,Y!$C$11:$C$48345,0),113)</f>
        <v>-4.1100000000000003</v>
      </c>
      <c r="G115" s="44">
        <f ca="1">OFFSET(Y!$A$16,MATCH($C$2,Y!$C$11:$C$48345,0),113)</f>
        <v>13.99</v>
      </c>
      <c r="H115" s="44">
        <f ca="1">OFFSET(Y!$A$17,MATCH($C$2,Y!$C$11:$C$48345,0),113)</f>
        <v>11.7</v>
      </c>
      <c r="I115" s="44">
        <f ca="1">OFFSET(Y!$A$18,MATCH($C$2,Y!$C$11:$C$48345,0),113)</f>
        <v>21.19</v>
      </c>
      <c r="J115" s="12" t="s">
        <v>146</v>
      </c>
      <c r="K115" s="45">
        <f ca="1">OFFSET(S!$A$11,MATCH($C$2,S!$C$11:$C$47348,0),113)</f>
        <v>12.68</v>
      </c>
      <c r="L115" s="45">
        <f ca="1">OFFSET(S!$A$12,MATCH($C$2,S!$C$11:$C$47348,0),113)</f>
        <v>11.26</v>
      </c>
      <c r="M115" s="45">
        <f ca="1">OFFSET(S!$A$13,MATCH($C$2,S!$C$11:$C$47348,0),113)</f>
        <v>8.76</v>
      </c>
      <c r="N115" s="45">
        <f ca="1">OFFSET(S!$A$14,MATCH($C$2,S!$C$11:$C$47348,0),113)</f>
        <v>9.66</v>
      </c>
      <c r="O115" s="45">
        <f ca="1">OFFSET(S!$A$15,MATCH($C$2,S!$C$11:$C$47348,0),113)</f>
        <v>11.58</v>
      </c>
      <c r="P115" s="45">
        <f ca="1">OFFSET(S!$A$16,MATCH($C$2,S!$C$11:$C$47348,0),113)</f>
        <v>14.46</v>
      </c>
      <c r="Q115" s="45">
        <f ca="1">OFFSET(S!$A$17,MATCH($C$2,S!$C$11:$C$47348,0),113)</f>
        <v>15.06</v>
      </c>
      <c r="R115" s="45">
        <f ca="1">OFFSET(S!$A$18,MATCH($C$2,S!$C$11:$C$47348,0),113)</f>
        <v>15.97</v>
      </c>
      <c r="S115" s="3"/>
      <c r="T115" s="3"/>
      <c r="U115" s="3"/>
      <c r="V115" s="3"/>
      <c r="W115" s="3"/>
      <c r="X115" s="4"/>
      <c r="Y115" s="4"/>
      <c r="Z115" s="4"/>
      <c r="AA115" s="102"/>
      <c r="AB115" s="102"/>
      <c r="AC115" s="102"/>
      <c r="AD115" s="102"/>
      <c r="AE115" s="102"/>
      <c r="AF115" s="102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</row>
    <row r="116" spans="1:43">
      <c r="A116" s="7" t="s">
        <v>147</v>
      </c>
      <c r="B116" s="65">
        <f ca="1">OFFSET(Y!$A$11,MATCH($C$2,Y!$C$11:$C$48345,0),114)</f>
        <v>23.86</v>
      </c>
      <c r="C116" s="65">
        <f ca="1">OFFSET(Y!$A$12,MATCH($C$2,Y!$C$11:$C$48345,0),114)</f>
        <v>44</v>
      </c>
      <c r="D116" s="65">
        <f ca="1">OFFSET(Y!$A$13,MATCH($C$2,Y!$C$11:$C$48345,0),114)</f>
        <v>16.18</v>
      </c>
      <c r="E116" s="65">
        <f ca="1">OFFSET(Y!$A$14,MATCH($C$2,Y!$C$11:$C$48345,0),114)</f>
        <v>-6.52</v>
      </c>
      <c r="F116" s="65">
        <f ca="1">OFFSET(Y!$A$15,MATCH($C$2,Y!$C$11:$C$48345,0),114)</f>
        <v>2.77</v>
      </c>
      <c r="G116" s="65">
        <f ca="1">OFFSET(Y!$A$16,MATCH($C$2,Y!$C$11:$C$48345,0),114)</f>
        <v>6.58</v>
      </c>
      <c r="H116" s="65">
        <f ca="1">OFFSET(Y!$A$17,MATCH($C$2,Y!$C$11:$C$48345,0),114)</f>
        <v>-6.07</v>
      </c>
      <c r="I116" s="65">
        <f ca="1">OFFSET(Y!$A$18,MATCH($C$2,Y!$C$11:$C$48345,0),114)</f>
        <v>21.08</v>
      </c>
      <c r="J116" s="7" t="s">
        <v>147</v>
      </c>
      <c r="K116" s="65">
        <f ca="1">OFFSET(S!$A$11,MATCH($C$2,S!$C$11:$C$47348,0),114)</f>
        <v>25.24</v>
      </c>
      <c r="L116" s="65">
        <f ca="1">OFFSET(S!$A$12,MATCH($C$2,S!$C$11:$C$47348,0),114)</f>
        <v>14.56</v>
      </c>
      <c r="M116" s="65">
        <f ca="1">OFFSET(S!$A$13,MATCH($C$2,S!$C$11:$C$47348,0),114)</f>
        <v>15.61</v>
      </c>
      <c r="N116" s="65">
        <f ca="1">OFFSET(S!$A$14,MATCH($C$2,S!$C$11:$C$47348,0),114)</f>
        <v>23.86</v>
      </c>
      <c r="O116" s="65">
        <f ca="1">OFFSET(S!$A$15,MATCH($C$2,S!$C$11:$C$47348,0),114)</f>
        <v>32.299999999999997</v>
      </c>
      <c r="P116" s="65">
        <f ca="1">OFFSET(S!$A$16,MATCH($C$2,S!$C$11:$C$47348,0),114)</f>
        <v>44.48</v>
      </c>
      <c r="Q116" s="65">
        <f ca="1">OFFSET(S!$A$17,MATCH($C$2,S!$C$11:$C$47348,0),114)</f>
        <v>46.15</v>
      </c>
      <c r="R116" s="65">
        <f ca="1">OFFSET(S!$A$18,MATCH($C$2,S!$C$11:$C$47348,0),114)</f>
        <v>44</v>
      </c>
      <c r="S116" s="3"/>
      <c r="T116" s="3"/>
      <c r="U116" s="3"/>
      <c r="V116" s="3"/>
      <c r="W116" s="3"/>
      <c r="X116" s="4"/>
      <c r="Y116" s="4"/>
      <c r="Z116" s="4"/>
      <c r="AA116" s="102"/>
      <c r="AB116" s="102"/>
      <c r="AC116" s="102"/>
      <c r="AD116" s="102"/>
      <c r="AE116" s="102"/>
      <c r="AF116" s="102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</row>
    <row r="117" spans="1:43">
      <c r="A117" s="10" t="s">
        <v>148</v>
      </c>
      <c r="B117" s="44">
        <f ca="1">OFFSET(Y!$A$11,MATCH($C$2,Y!$C$11:$C$48345,0),115)</f>
        <v>144.79</v>
      </c>
      <c r="C117" s="44">
        <f ca="1">OFFSET(Y!$A$12,MATCH($C$2,Y!$C$11:$C$48345,0),115)</f>
        <v>162.88</v>
      </c>
      <c r="D117" s="44">
        <f ca="1">OFFSET(Y!$A$13,MATCH($C$2,Y!$C$11:$C$48345,0),115)</f>
        <v>256.07</v>
      </c>
      <c r="E117" s="44">
        <f ca="1">OFFSET(Y!$A$14,MATCH($C$2,Y!$C$11:$C$48345,0),115)</f>
        <v>338.7</v>
      </c>
      <c r="F117" s="44">
        <f ca="1">OFFSET(Y!$A$15,MATCH($C$2,Y!$C$11:$C$48345,0),115)</f>
        <v>397.94</v>
      </c>
      <c r="G117" s="44">
        <f ca="1">OFFSET(Y!$A$16,MATCH($C$2,Y!$C$11:$C$48345,0),115)</f>
        <v>451.4</v>
      </c>
      <c r="H117" s="44">
        <f ca="1">OFFSET(Y!$A$17,MATCH($C$2,Y!$C$11:$C$48345,0),115)</f>
        <v>613.84</v>
      </c>
      <c r="I117" s="44">
        <f ca="1">OFFSET(Y!$A$18,MATCH($C$2,Y!$C$11:$C$48345,0),115)</f>
        <v>286.39999999999998</v>
      </c>
      <c r="J117" s="12" t="s">
        <v>148</v>
      </c>
      <c r="K117" s="45">
        <f ca="1">OFFSET(S!$A$11,MATCH($C$2,S!$C$11:$C$47348,0),115)</f>
        <v>148.16999999999999</v>
      </c>
      <c r="L117" s="45">
        <f ca="1">OFFSET(S!$A$12,MATCH($C$2,S!$C$11:$C$47348,0),115)</f>
        <v>99.83</v>
      </c>
      <c r="M117" s="45">
        <f ca="1">OFFSET(S!$A$13,MATCH($C$2,S!$C$11:$C$47348,0),115)</f>
        <v>163.5</v>
      </c>
      <c r="N117" s="45">
        <f ca="1">OFFSET(S!$A$14,MATCH($C$2,S!$C$11:$C$47348,0),115)</f>
        <v>144.79</v>
      </c>
      <c r="O117" s="45">
        <f ca="1">OFFSET(S!$A$15,MATCH($C$2,S!$C$11:$C$47348,0),115)</f>
        <v>131.61000000000001</v>
      </c>
      <c r="P117" s="45">
        <f ca="1">OFFSET(S!$A$16,MATCH($C$2,S!$C$11:$C$47348,0),115)</f>
        <v>91.54</v>
      </c>
      <c r="Q117" s="45">
        <f ca="1">OFFSET(S!$A$17,MATCH($C$2,S!$C$11:$C$47348,0),115)</f>
        <v>154.22</v>
      </c>
      <c r="R117" s="45">
        <f ca="1">OFFSET(S!$A$18,MATCH($C$2,S!$C$11:$C$47348,0),115)</f>
        <v>162.88</v>
      </c>
      <c r="S117" s="3"/>
      <c r="T117" s="3"/>
      <c r="U117" s="3"/>
      <c r="V117" s="3"/>
      <c r="W117" s="3"/>
      <c r="X117" s="4"/>
      <c r="Y117" s="4"/>
      <c r="Z117" s="4"/>
      <c r="AA117" s="102"/>
      <c r="AB117" s="102"/>
      <c r="AC117" s="102"/>
      <c r="AD117" s="102"/>
      <c r="AE117" s="102"/>
      <c r="AF117" s="102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</row>
    <row r="118" spans="1:43">
      <c r="A118" s="7" t="s">
        <v>149</v>
      </c>
      <c r="B118" s="9">
        <f ca="1">OFFSET(Y!$A$11,MATCH($C$2,Y!$C$11:$C$48345,0),116)</f>
        <v>116.96</v>
      </c>
      <c r="C118" s="9">
        <f ca="1">OFFSET(Y!$A$12,MATCH($C$2,Y!$C$11:$C$48345,0),116)</f>
        <v>135.30000000000001</v>
      </c>
      <c r="D118" s="9">
        <f ca="1">OFFSET(Y!$A$13,MATCH($C$2,Y!$C$11:$C$48345,0),116)</f>
        <v>221.61</v>
      </c>
      <c r="E118" s="9">
        <f ca="1">OFFSET(Y!$A$14,MATCH($C$2,Y!$C$11:$C$48345,0),116)</f>
        <v>304.12</v>
      </c>
      <c r="F118" s="9">
        <f ca="1">OFFSET(Y!$A$15,MATCH($C$2,Y!$C$11:$C$48345,0),116)</f>
        <v>335.73</v>
      </c>
      <c r="G118" s="9">
        <f ca="1">OFFSET(Y!$A$16,MATCH($C$2,Y!$C$11:$C$48345,0),116)</f>
        <v>384.69</v>
      </c>
      <c r="H118" s="9">
        <f ca="1">OFFSET(Y!$A$17,MATCH($C$2,Y!$C$11:$C$48345,0),116)</f>
        <v>537.01</v>
      </c>
      <c r="I118" s="9">
        <f ca="1">OFFSET(Y!$A$18,MATCH($C$2,Y!$C$11:$C$48345,0),116)</f>
        <v>245.85</v>
      </c>
      <c r="J118" s="7" t="s">
        <v>149</v>
      </c>
      <c r="K118" s="9">
        <f ca="1">OFFSET(S!$A$11,MATCH($C$2,S!$C$11:$C$47348,0),116)</f>
        <v>117.68</v>
      </c>
      <c r="L118" s="9">
        <f ca="1">OFFSET(S!$A$12,MATCH($C$2,S!$C$11:$C$47348,0),116)</f>
        <v>83.9</v>
      </c>
      <c r="M118" s="9">
        <f ca="1">OFFSET(S!$A$13,MATCH($C$2,S!$C$11:$C$47348,0),116)</f>
        <v>134.84</v>
      </c>
      <c r="N118" s="9">
        <f ca="1">OFFSET(S!$A$14,MATCH($C$2,S!$C$11:$C$47348,0),116)</f>
        <v>116.96</v>
      </c>
      <c r="O118" s="9">
        <f ca="1">OFFSET(S!$A$15,MATCH($C$2,S!$C$11:$C$47348,0),116)</f>
        <v>107.43</v>
      </c>
      <c r="P118" s="9">
        <f ca="1">OFFSET(S!$A$16,MATCH($C$2,S!$C$11:$C$47348,0),116)</f>
        <v>75.88</v>
      </c>
      <c r="Q118" s="9">
        <f ca="1">OFFSET(S!$A$17,MATCH($C$2,S!$C$11:$C$47348,0),116)</f>
        <v>124.68</v>
      </c>
      <c r="R118" s="9">
        <f ca="1">OFFSET(S!$A$18,MATCH($C$2,S!$C$11:$C$47348,0),116)</f>
        <v>135.30000000000001</v>
      </c>
      <c r="S118" s="3"/>
      <c r="T118" s="3"/>
      <c r="U118" s="3"/>
      <c r="V118" s="3"/>
      <c r="W118" s="3"/>
      <c r="X118" s="4"/>
      <c r="Y118" s="4"/>
      <c r="Z118" s="4"/>
      <c r="AA118" s="102"/>
      <c r="AB118" s="102"/>
      <c r="AC118" s="102"/>
      <c r="AD118" s="102"/>
      <c r="AE118" s="102"/>
      <c r="AF118" s="102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</row>
    <row r="119" spans="1:43">
      <c r="A119" s="10" t="s">
        <v>150</v>
      </c>
      <c r="B119" s="39">
        <f ca="1">OFFSET(Y!$A$11,MATCH($C$2,Y!$C$11:$C$48345,0),117)</f>
        <v>17.309999999999999</v>
      </c>
      <c r="C119" s="39">
        <f ca="1">OFFSET(Y!$A$12,MATCH($C$2,Y!$C$11:$C$48345,0),117)</f>
        <v>18.12</v>
      </c>
      <c r="D119" s="39">
        <f ca="1">OFFSET(Y!$A$13,MATCH($C$2,Y!$C$11:$C$48345,0),117)</f>
        <v>14.26</v>
      </c>
      <c r="E119" s="39">
        <f ca="1">OFFSET(Y!$A$14,MATCH($C$2,Y!$C$11:$C$48345,0),117)</f>
        <v>11.87</v>
      </c>
      <c r="F119" s="39">
        <f ca="1">OFFSET(Y!$A$15,MATCH($C$2,Y!$C$11:$C$48345,0),117)</f>
        <v>11.72</v>
      </c>
      <c r="G119" s="39">
        <f ca="1">OFFSET(Y!$A$16,MATCH($C$2,Y!$C$11:$C$48345,0),117)</f>
        <v>11.44</v>
      </c>
      <c r="H119" s="39">
        <f ca="1">OFFSET(Y!$A$17,MATCH($C$2,Y!$C$11:$C$48345,0),117)</f>
        <v>12.2</v>
      </c>
      <c r="I119" s="39">
        <f ca="1">OFFSET(Y!$A$18,MATCH($C$2,Y!$C$11:$C$48345,0),117)</f>
        <v>18.170000000000002</v>
      </c>
      <c r="J119" s="12" t="s">
        <v>150</v>
      </c>
      <c r="K119" s="40">
        <f ca="1">OFFSET(S!$A$11,MATCH($C$2,S!$C$11:$C$47348,0),117)</f>
        <v>22.47</v>
      </c>
      <c r="L119" s="40">
        <f ca="1">OFFSET(S!$A$12,MATCH($C$2,S!$C$11:$C$47348,0),117)</f>
        <v>28.16</v>
      </c>
      <c r="M119" s="40">
        <f ca="1">OFFSET(S!$A$13,MATCH($C$2,S!$C$11:$C$47348,0),117)</f>
        <v>19.510000000000002</v>
      </c>
      <c r="N119" s="40">
        <f ca="1">OFFSET(S!$A$14,MATCH($C$2,S!$C$11:$C$47348,0),117)</f>
        <v>17.309999999999999</v>
      </c>
      <c r="O119" s="40">
        <f ca="1">OFFSET(S!$A$15,MATCH($C$2,S!$C$11:$C$47348,0),117)</f>
        <v>17.920000000000002</v>
      </c>
      <c r="P119" s="40">
        <f ca="1">OFFSET(S!$A$16,MATCH($C$2,S!$C$11:$C$47348,0),117)</f>
        <v>26.37</v>
      </c>
      <c r="Q119" s="40">
        <f ca="1">OFFSET(S!$A$17,MATCH($C$2,S!$C$11:$C$47348,0),117)</f>
        <v>16.93</v>
      </c>
      <c r="R119" s="40">
        <f ca="1">OFFSET(S!$A$18,MATCH($C$2,S!$C$11:$C$47348,0),117)</f>
        <v>18.12</v>
      </c>
      <c r="S119" s="64"/>
      <c r="T119" s="64"/>
      <c r="U119" s="64"/>
      <c r="V119" s="64"/>
      <c r="W119" s="64"/>
      <c r="X119" s="24"/>
      <c r="Y119" s="24"/>
      <c r="Z119" s="24"/>
      <c r="AA119" s="102"/>
      <c r="AB119" s="102"/>
      <c r="AC119" s="102"/>
      <c r="AD119" s="102"/>
      <c r="AE119" s="102"/>
      <c r="AF119" s="102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</row>
    <row r="120" spans="1:43">
      <c r="A120" s="7" t="s">
        <v>151</v>
      </c>
      <c r="B120" s="18">
        <f ca="1">OFFSET(Y!$A$11,MATCH($C$2,Y!$C$11:$C$48345,0),118)</f>
        <v>0.82688125199999996</v>
      </c>
      <c r="C120" s="18">
        <f ca="1">OFFSET(Y!$A$12,MATCH($C$2,Y!$C$11:$C$48345,0),118)</f>
        <v>0.81875677400000002</v>
      </c>
      <c r="D120" s="18">
        <f ca="1">OFFSET(Y!$A$13,MATCH($C$2,Y!$C$11:$C$48345,0),118)</f>
        <v>0.85739496100000001</v>
      </c>
      <c r="E120" s="18">
        <f ca="1">OFFSET(Y!$A$14,MATCH($C$2,Y!$C$11:$C$48345,0),118)</f>
        <v>0.88126735499999997</v>
      </c>
      <c r="F120" s="18">
        <f ca="1">OFFSET(Y!$A$15,MATCH($C$2,Y!$C$11:$C$48345,0),118)</f>
        <v>0.88277425700000001</v>
      </c>
      <c r="G120" s="18">
        <f ca="1">OFFSET(Y!$A$16,MATCH($C$2,Y!$C$11:$C$48345,0),118)</f>
        <v>0.88562462399999997</v>
      </c>
      <c r="H120" s="18">
        <f ca="1">OFFSET(Y!$A$17,MATCH($C$2,Y!$C$11:$C$48345,0),118)</f>
        <v>0.87801946600000003</v>
      </c>
      <c r="I120" s="18">
        <f ca="1">OFFSET(Y!$A$18,MATCH($C$2,Y!$C$11:$C$48345,0),118)</f>
        <v>0.81830077999999995</v>
      </c>
      <c r="J120" s="7" t="s">
        <v>151</v>
      </c>
      <c r="K120" s="18">
        <f ca="1">OFFSET(S!$A$11,MATCH($C$2,S!$C$11:$C$47348,0),118)</f>
        <v>0.77529846199999997</v>
      </c>
      <c r="L120" s="18">
        <f ca="1">OFFSET(S!$A$12,MATCH($C$2,S!$C$11:$C$47348,0),118)</f>
        <v>0.71844861400000004</v>
      </c>
      <c r="M120" s="18">
        <f ca="1">OFFSET(S!$A$13,MATCH($C$2,S!$C$11:$C$47348,0),118)</f>
        <v>0.80489857399999998</v>
      </c>
      <c r="N120" s="18">
        <f ca="1">OFFSET(S!$A$14,MATCH($C$2,S!$C$11:$C$47348,0),118)</f>
        <v>0.82688125199999996</v>
      </c>
      <c r="O120" s="18">
        <f ca="1">OFFSET(S!$A$15,MATCH($C$2,S!$C$11:$C$47348,0),118)</f>
        <v>0.82084233200000001</v>
      </c>
      <c r="P120" s="18">
        <f ca="1">OFFSET(S!$A$16,MATCH($C$2,S!$C$11:$C$47348,0),118)</f>
        <v>0.73634923799999996</v>
      </c>
      <c r="Q120" s="18">
        <f ca="1">OFFSET(S!$A$17,MATCH($C$2,S!$C$11:$C$47348,0),118)</f>
        <v>0.83072544299999995</v>
      </c>
      <c r="R120" s="18">
        <f ca="1">OFFSET(S!$A$18,MATCH($C$2,S!$C$11:$C$47348,0),118)</f>
        <v>0.81875677400000002</v>
      </c>
      <c r="S120" s="64"/>
      <c r="T120" s="64"/>
      <c r="U120" s="64"/>
      <c r="V120" s="64"/>
      <c r="W120" s="64"/>
      <c r="X120" s="24"/>
      <c r="Y120" s="24"/>
      <c r="Z120" s="24"/>
      <c r="AA120" s="102"/>
      <c r="AB120" s="102"/>
      <c r="AC120" s="102"/>
      <c r="AD120" s="102"/>
      <c r="AE120" s="102"/>
      <c r="AF120" s="102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</row>
    <row r="121" spans="1:43">
      <c r="A121" s="10" t="s">
        <v>152</v>
      </c>
      <c r="B121" s="1">
        <f ca="1">OFFSET(Y!$A$11,MATCH($C$2,Y!$C$11:$C$48345,0),119)</f>
        <v>0.13412716699999999</v>
      </c>
      <c r="C121" s="1">
        <f ca="1">OFFSET(Y!$A$12,MATCH($C$2,Y!$C$11:$C$48345,0),119)</f>
        <v>2.7845673000000001E-2</v>
      </c>
      <c r="D121" s="1">
        <f ca="1">OFFSET(Y!$A$13,MATCH($C$2,Y!$C$11:$C$48345,0),119)</f>
        <v>5.5100989000000003E-2</v>
      </c>
      <c r="E121" s="1">
        <f ca="1">OFFSET(Y!$A$14,MATCH($C$2,Y!$C$11:$C$48345,0),119)</f>
        <v>5.4346411999999997E-2</v>
      </c>
      <c r="F121" s="1">
        <f ca="1">OFFSET(Y!$A$15,MATCH($C$2,Y!$C$11:$C$48345,0),119)</f>
        <v>0.128241296</v>
      </c>
      <c r="G121" s="1">
        <f ca="1">OFFSET(Y!$A$16,MATCH($C$2,Y!$C$11:$C$48345,0),119)</f>
        <v>0.111605385</v>
      </c>
      <c r="H121" s="1">
        <f ca="1">OFFSET(Y!$A$17,MATCH($C$2,Y!$C$11:$C$48345,0),119)</f>
        <v>0.23630243100000001</v>
      </c>
      <c r="I121" s="1">
        <f ca="1">OFFSET(Y!$A$18,MATCH($C$2,Y!$C$11:$C$48345,0),119)</f>
        <v>0.25730101</v>
      </c>
      <c r="J121" s="12" t="s">
        <v>152</v>
      </c>
      <c r="K121" s="46">
        <f ca="1">OFFSET(S!$A$11,MATCH($C$2,S!$C$11:$C$47348,0),119)</f>
        <v>1.5344705190000001</v>
      </c>
      <c r="L121" s="46">
        <f ca="1">OFFSET(S!$A$12,MATCH($C$2,S!$C$11:$C$47348,0),119)</f>
        <v>0.838351709</v>
      </c>
      <c r="M121" s="46">
        <f ca="1">OFFSET(S!$A$13,MATCH($C$2,S!$C$11:$C$47348,0),119)</f>
        <v>1.0455876200000001</v>
      </c>
      <c r="N121" s="46">
        <f ca="1">OFFSET(S!$A$14,MATCH($C$2,S!$C$11:$C$47348,0),119)</f>
        <v>0.56999904999999995</v>
      </c>
      <c r="O121" s="46">
        <f ca="1">OFFSET(S!$A$15,MATCH($C$2,S!$C$11:$C$47348,0),119)</f>
        <v>0.59220266499999996</v>
      </c>
      <c r="P121" s="46">
        <f ca="1">OFFSET(S!$A$16,MATCH($C$2,S!$C$11:$C$47348,0),119)</f>
        <v>0</v>
      </c>
      <c r="Q121" s="46">
        <f ca="1">OFFSET(S!$A$17,MATCH($C$2,S!$C$11:$C$47348,0),119)</f>
        <v>0</v>
      </c>
      <c r="R121" s="46">
        <f ca="1">OFFSET(S!$A$18,MATCH($C$2,S!$C$11:$C$47348,0),119)</f>
        <v>0.110510806</v>
      </c>
      <c r="S121" s="3"/>
      <c r="T121" s="3"/>
      <c r="U121" s="3"/>
      <c r="V121" s="3"/>
      <c r="W121" s="3"/>
      <c r="X121" s="4"/>
      <c r="Y121" s="4"/>
      <c r="Z121" s="4"/>
      <c r="AA121" s="102"/>
      <c r="AB121" s="102"/>
      <c r="AC121" s="102"/>
      <c r="AD121" s="102"/>
      <c r="AE121" s="102"/>
      <c r="AF121" s="102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</row>
    <row r="122" spans="1:43">
      <c r="A122" s="7" t="s">
        <v>153</v>
      </c>
      <c r="B122" s="47">
        <f ca="1">OFFSET(Y!$A$11,MATCH($C$2,Y!$C$11:$C$48345,0),120)</f>
        <v>325.54000000000002</v>
      </c>
      <c r="C122" s="47">
        <f ca="1">OFFSET(Y!$A$12,MATCH($C$2,Y!$C$11:$C$48345,0),120)</f>
        <v>789.71</v>
      </c>
      <c r="D122" s="47">
        <f ca="1">OFFSET(Y!$A$13,MATCH($C$2,Y!$C$11:$C$48345,0),120)</f>
        <v>669.76</v>
      </c>
      <c r="E122" s="47">
        <f ca="1">OFFSET(Y!$A$14,MATCH($C$2,Y!$C$11:$C$48345,0),120)</f>
        <v>312.95</v>
      </c>
      <c r="F122" s="47">
        <f ca="1">OFFSET(Y!$A$15,MATCH($C$2,Y!$C$11:$C$48345,0),120)</f>
        <v>207.51</v>
      </c>
      <c r="G122" s="47">
        <f ca="1">OFFSET(Y!$A$16,MATCH($C$2,Y!$C$11:$C$48345,0),120)</f>
        <v>204.88</v>
      </c>
      <c r="H122" s="47">
        <f ca="1">OFFSET(Y!$A$17,MATCH($C$2,Y!$C$11:$C$48345,0),120)</f>
        <v>39.619999999999997</v>
      </c>
      <c r="I122" s="47">
        <f ca="1">OFFSET(Y!$A$18,MATCH($C$2,Y!$C$11:$C$48345,0),120)</f>
        <v>68.849999999999994</v>
      </c>
      <c r="J122" s="7" t="s">
        <v>153</v>
      </c>
      <c r="K122" s="47">
        <f ca="1">OFFSET(S!$A$11,MATCH($C$2,S!$C$11:$C$47348,0),120)</f>
        <v>208.06</v>
      </c>
      <c r="L122" s="47">
        <f ca="1">OFFSET(S!$A$12,MATCH($C$2,S!$C$11:$C$47348,0),120)</f>
        <v>269.43</v>
      </c>
      <c r="M122" s="47">
        <f ca="1">OFFSET(S!$A$13,MATCH($C$2,S!$C$11:$C$47348,0),120)</f>
        <v>187.43</v>
      </c>
      <c r="N122" s="47">
        <f ca="1">OFFSET(S!$A$14,MATCH($C$2,S!$C$11:$C$47348,0),120)</f>
        <v>198.81</v>
      </c>
      <c r="O122" s="47">
        <f ca="1">OFFSET(S!$A$15,MATCH($C$2,S!$C$11:$C$47348,0),120)</f>
        <v>248.65</v>
      </c>
      <c r="P122" s="47">
        <f ca="1">OFFSET(S!$A$16,MATCH($C$2,S!$C$11:$C$47348,0),120)</f>
        <v>521.24</v>
      </c>
      <c r="Q122" s="47">
        <f ca="1">OFFSET(S!$A$17,MATCH($C$2,S!$C$11:$C$47348,0),120)</f>
        <v>560.96</v>
      </c>
      <c r="R122" s="47">
        <f ca="1">OFFSET(S!$A$18,MATCH($C$2,S!$C$11:$C$47348,0),120)</f>
        <v>594.41</v>
      </c>
      <c r="S122" s="3"/>
      <c r="T122" s="3"/>
      <c r="U122" s="3"/>
      <c r="V122" s="3"/>
      <c r="W122" s="3"/>
      <c r="X122" s="4"/>
      <c r="Y122" s="4"/>
      <c r="Z122" s="4"/>
      <c r="AA122" s="102"/>
      <c r="AB122" s="102"/>
      <c r="AC122" s="102"/>
      <c r="AD122" s="102"/>
      <c r="AE122" s="102"/>
      <c r="AF122" s="102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</row>
    <row r="123" spans="1:43">
      <c r="A123" s="10" t="s">
        <v>154</v>
      </c>
      <c r="B123" s="16">
        <f ca="1">OFFSET(Y!$A$11,MATCH($C$2,Y!$C$11:$C$48345,0),121)</f>
        <v>10.53</v>
      </c>
      <c r="C123" s="16">
        <f ca="1">OFFSET(Y!$A$12,MATCH($C$2,Y!$C$11:$C$48345,0),121)</f>
        <v>11.06</v>
      </c>
      <c r="D123" s="16">
        <f ca="1">OFFSET(Y!$A$13,MATCH($C$2,Y!$C$11:$C$48345,0),121)</f>
        <v>11.37</v>
      </c>
      <c r="E123" s="16">
        <f ca="1">OFFSET(Y!$A$14,MATCH($C$2,Y!$C$11:$C$48345,0),121)</f>
        <v>11.3</v>
      </c>
      <c r="F123" s="16">
        <f ca="1">OFFSET(Y!$A$15,MATCH($C$2,Y!$C$11:$C$48345,0),121)</f>
        <v>8.99</v>
      </c>
      <c r="G123" s="16">
        <f ca="1">OFFSET(Y!$A$16,MATCH($C$2,Y!$C$11:$C$48345,0),121)</f>
        <v>9.5</v>
      </c>
      <c r="H123" s="16">
        <f ca="1">OFFSET(Y!$A$17,MATCH($C$2,Y!$C$11:$C$48345,0),121)</f>
        <v>8.32</v>
      </c>
      <c r="I123" s="16">
        <f ca="1">OFFSET(Y!$A$18,MATCH($C$2,Y!$C$11:$C$48345,0),121)</f>
        <v>9.66</v>
      </c>
      <c r="J123" s="12" t="s">
        <v>154</v>
      </c>
      <c r="K123" s="41">
        <f ca="1">OFFSET(S!$A$11,MATCH($C$2,S!$C$11:$C$47348,0),121)</f>
        <v>2.52</v>
      </c>
      <c r="L123" s="41">
        <f ca="1">OFFSET(S!$A$12,MATCH($C$2,S!$C$11:$C$47348,0),121)</f>
        <v>2.54</v>
      </c>
      <c r="M123" s="41">
        <f ca="1">OFFSET(S!$A$13,MATCH($C$2,S!$C$11:$C$47348,0),121)</f>
        <v>2.44</v>
      </c>
      <c r="N123" s="41">
        <f ca="1">OFFSET(S!$A$14,MATCH($C$2,S!$C$11:$C$47348,0),121)</f>
        <v>2.4700000000000002</v>
      </c>
      <c r="O123" s="41">
        <f ca="1">OFFSET(S!$A$15,MATCH($C$2,S!$C$11:$C$47348,0),121)</f>
        <v>2.35</v>
      </c>
      <c r="P123" s="41">
        <f ca="1">OFFSET(S!$A$16,MATCH($C$2,S!$C$11:$C$47348,0),121)</f>
        <v>2.4</v>
      </c>
      <c r="Q123" s="41">
        <f ca="1">OFFSET(S!$A$17,MATCH($C$2,S!$C$11:$C$47348,0),121)</f>
        <v>2.42</v>
      </c>
      <c r="R123" s="41">
        <f ca="1">OFFSET(S!$A$18,MATCH($C$2,S!$C$11:$C$47348,0),121)</f>
        <v>2.5</v>
      </c>
      <c r="S123" s="64"/>
      <c r="T123" s="64"/>
      <c r="U123" s="64"/>
      <c r="V123" s="64"/>
      <c r="W123" s="64"/>
      <c r="X123" s="24"/>
      <c r="Y123" s="24"/>
      <c r="Z123" s="24"/>
      <c r="AA123" s="102"/>
      <c r="AB123" s="102"/>
      <c r="AC123" s="102"/>
      <c r="AD123" s="102"/>
      <c r="AE123" s="102"/>
      <c r="AF123" s="102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</row>
    <row r="124" spans="1:43">
      <c r="A124" s="7" t="s">
        <v>155</v>
      </c>
      <c r="B124" s="48">
        <f ca="1">OFFSET(Y!$A$11,MATCH($C$2,Y!$C$11:$C$48345,0),122)</f>
        <v>34.662868000000003</v>
      </c>
      <c r="C124" s="48">
        <f ca="1">OFFSET(Y!$A$12,MATCH($C$2,Y!$C$11:$C$48345,0),122)</f>
        <v>33.001808320000002</v>
      </c>
      <c r="D124" s="48">
        <f ca="1">OFFSET(Y!$A$13,MATCH($C$2,Y!$C$11:$C$48345,0),122)</f>
        <v>32.102022869999999</v>
      </c>
      <c r="E124" s="48">
        <f ca="1">OFFSET(Y!$A$14,MATCH($C$2,Y!$C$11:$C$48345,0),122)</f>
        <v>32.300884959999998</v>
      </c>
      <c r="F124" s="48">
        <f ca="1">OFFSET(Y!$A$15,MATCH($C$2,Y!$C$11:$C$48345,0),122)</f>
        <v>40.60066741</v>
      </c>
      <c r="G124" s="48">
        <f ca="1">OFFSET(Y!$A$16,MATCH($C$2,Y!$C$11:$C$48345,0),122)</f>
        <v>38.421052629999998</v>
      </c>
      <c r="H124" s="48">
        <f ca="1">OFFSET(Y!$A$17,MATCH($C$2,Y!$C$11:$C$48345,0),122)</f>
        <v>43.87019231</v>
      </c>
      <c r="I124" s="48">
        <f ca="1">OFFSET(Y!$A$18,MATCH($C$2,Y!$C$11:$C$48345,0),122)</f>
        <v>37.784679089999997</v>
      </c>
      <c r="J124" s="7" t="s">
        <v>155</v>
      </c>
      <c r="K124" s="48">
        <f ca="1">OFFSET(S!$A$11,MATCH($C$2,S!$C$11:$C$47348,0),122)</f>
        <v>35.714285709999999</v>
      </c>
      <c r="L124" s="48">
        <f ca="1">OFFSET(S!$A$12,MATCH($C$2,S!$C$11:$C$47348,0),122)</f>
        <v>35.433070870000002</v>
      </c>
      <c r="M124" s="48">
        <f ca="1">OFFSET(S!$A$13,MATCH($C$2,S!$C$11:$C$47348,0),122)</f>
        <v>36.885245900000001</v>
      </c>
      <c r="N124" s="48">
        <f ca="1">OFFSET(S!$A$14,MATCH($C$2,S!$C$11:$C$47348,0),122)</f>
        <v>36.437246960000003</v>
      </c>
      <c r="O124" s="48">
        <f ca="1">OFFSET(S!$A$15,MATCH($C$2,S!$C$11:$C$47348,0),122)</f>
        <v>38.297872339999998</v>
      </c>
      <c r="P124" s="48">
        <f ca="1">OFFSET(S!$A$16,MATCH($C$2,S!$C$11:$C$47348,0),122)</f>
        <v>37.5</v>
      </c>
      <c r="Q124" s="48">
        <f ca="1">OFFSET(S!$A$17,MATCH($C$2,S!$C$11:$C$47348,0),122)</f>
        <v>37.19008264</v>
      </c>
      <c r="R124" s="48">
        <f ca="1">OFFSET(S!$A$18,MATCH($C$2,S!$C$11:$C$47348,0),122)</f>
        <v>36</v>
      </c>
      <c r="S124" s="64"/>
      <c r="T124" s="64"/>
      <c r="U124" s="64"/>
      <c r="V124" s="64"/>
      <c r="W124" s="64"/>
      <c r="X124" s="24"/>
      <c r="Y124" s="24"/>
      <c r="Z124" s="24"/>
      <c r="AA124" s="102"/>
      <c r="AB124" s="102"/>
      <c r="AC124" s="102"/>
      <c r="AD124" s="102"/>
      <c r="AE124" s="102"/>
      <c r="AF124" s="102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</row>
    <row r="125" spans="1:43">
      <c r="A125" s="10" t="s">
        <v>156</v>
      </c>
      <c r="B125" s="16">
        <f ca="1">OFFSET(Y!$A$11,MATCH($C$2,Y!$C$11:$C$48345,0),123)</f>
        <v>9.61</v>
      </c>
      <c r="C125" s="16">
        <f ca="1">OFFSET(Y!$A$12,MATCH($C$2,Y!$C$11:$C$48345,0),123)</f>
        <v>9.44</v>
      </c>
      <c r="D125" s="16">
        <f ca="1">OFFSET(Y!$A$13,MATCH($C$2,Y!$C$11:$C$48345,0),123)</f>
        <v>10.06</v>
      </c>
      <c r="E125" s="16">
        <f ca="1">OFFSET(Y!$A$14,MATCH($C$2,Y!$C$11:$C$48345,0),123)</f>
        <v>10.86</v>
      </c>
      <c r="F125" s="16">
        <f ca="1">OFFSET(Y!$A$15,MATCH($C$2,Y!$C$11:$C$48345,0),123)</f>
        <v>8.7799999999999994</v>
      </c>
      <c r="G125" s="16">
        <f ca="1">OFFSET(Y!$A$16,MATCH($C$2,Y!$C$11:$C$48345,0),123)</f>
        <v>9.27</v>
      </c>
      <c r="H125" s="16">
        <f ca="1">OFFSET(Y!$A$17,MATCH($C$2,Y!$C$11:$C$48345,0),123)</f>
        <v>9.82</v>
      </c>
      <c r="I125" s="16">
        <f ca="1">OFFSET(Y!$A$18,MATCH($C$2,Y!$C$11:$C$48345,0),123)</f>
        <v>11.63</v>
      </c>
      <c r="J125" s="12" t="s">
        <v>156</v>
      </c>
      <c r="K125" s="41">
        <f ca="1">OFFSET(S!$A$11,MATCH($C$2,S!$C$11:$C$47348,0),123)</f>
        <v>2.48</v>
      </c>
      <c r="L125" s="41">
        <f ca="1">OFFSET(S!$A$12,MATCH($C$2,S!$C$11:$C$47348,0),123)</f>
        <v>2.4500000000000002</v>
      </c>
      <c r="M125" s="41">
        <f ca="1">OFFSET(S!$A$13,MATCH($C$2,S!$C$11:$C$47348,0),123)</f>
        <v>2.2999999999999998</v>
      </c>
      <c r="N125" s="41">
        <f ca="1">OFFSET(S!$A$14,MATCH($C$2,S!$C$11:$C$47348,0),123)</f>
        <v>2.5099999999999998</v>
      </c>
      <c r="O125" s="41">
        <f ca="1">OFFSET(S!$A$15,MATCH($C$2,S!$C$11:$C$47348,0),123)</f>
        <v>2.4</v>
      </c>
      <c r="P125" s="41">
        <f ca="1">OFFSET(S!$A$16,MATCH($C$2,S!$C$11:$C$47348,0),123)</f>
        <v>2.09</v>
      </c>
      <c r="Q125" s="41">
        <f ca="1">OFFSET(S!$A$17,MATCH($C$2,S!$C$11:$C$47348,0),123)</f>
        <v>1.96</v>
      </c>
      <c r="R125" s="41">
        <f ca="1">OFFSET(S!$A$18,MATCH($C$2,S!$C$11:$C$47348,0),123)</f>
        <v>2.23</v>
      </c>
      <c r="S125" s="64"/>
      <c r="T125" s="64"/>
      <c r="U125" s="64"/>
      <c r="V125" s="64"/>
      <c r="W125" s="64"/>
      <c r="X125" s="24"/>
      <c r="Y125" s="24"/>
      <c r="Z125" s="24"/>
      <c r="AA125" s="102"/>
      <c r="AB125" s="102"/>
      <c r="AC125" s="102"/>
      <c r="AD125" s="102"/>
      <c r="AE125" s="102"/>
      <c r="AF125" s="102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</row>
    <row r="126" spans="1:43">
      <c r="A126" s="7" t="s">
        <v>157</v>
      </c>
      <c r="B126" s="49">
        <f ca="1">OFFSET(Y!$A$11,MATCH($C$2,Y!$C$11:$C$48345,0),124)</f>
        <v>37.981269509999997</v>
      </c>
      <c r="C126" s="49">
        <f ca="1">OFFSET(Y!$A$12,MATCH($C$2,Y!$C$11:$C$48345,0),124)</f>
        <v>38.665254240000003</v>
      </c>
      <c r="D126" s="49">
        <f ca="1">OFFSET(Y!$A$13,MATCH($C$2,Y!$C$11:$C$48345,0),124)</f>
        <v>36.282306159999997</v>
      </c>
      <c r="E126" s="49">
        <f ca="1">OFFSET(Y!$A$14,MATCH($C$2,Y!$C$11:$C$48345,0),124)</f>
        <v>33.609576429999997</v>
      </c>
      <c r="F126" s="49">
        <f ca="1">OFFSET(Y!$A$15,MATCH($C$2,Y!$C$11:$C$48345,0),124)</f>
        <v>41.571753989999998</v>
      </c>
      <c r="G126" s="49">
        <f ca="1">OFFSET(Y!$A$16,MATCH($C$2,Y!$C$11:$C$48345,0),124)</f>
        <v>39.374325779999999</v>
      </c>
      <c r="H126" s="49">
        <f ca="1">OFFSET(Y!$A$17,MATCH($C$2,Y!$C$11:$C$48345,0),124)</f>
        <v>37.169042769999997</v>
      </c>
      <c r="I126" s="49">
        <f ca="1">OFFSET(Y!$A$18,MATCH($C$2,Y!$C$11:$C$48345,0),124)</f>
        <v>31.384350820000002</v>
      </c>
      <c r="J126" s="7" t="s">
        <v>157</v>
      </c>
      <c r="K126" s="49">
        <f ca="1">OFFSET(S!$A$11,MATCH($C$2,S!$C$11:$C$47348,0),124)</f>
        <v>36.290322580000002</v>
      </c>
      <c r="L126" s="49">
        <f ca="1">OFFSET(S!$A$12,MATCH($C$2,S!$C$11:$C$47348,0),124)</f>
        <v>36.734693880000002</v>
      </c>
      <c r="M126" s="49">
        <f ca="1">OFFSET(S!$A$13,MATCH($C$2,S!$C$11:$C$47348,0),124)</f>
        <v>39.130434780000002</v>
      </c>
      <c r="N126" s="49">
        <f ca="1">OFFSET(S!$A$14,MATCH($C$2,S!$C$11:$C$47348,0),124)</f>
        <v>35.856573709999999</v>
      </c>
      <c r="O126" s="49">
        <f ca="1">OFFSET(S!$A$15,MATCH($C$2,S!$C$11:$C$47348,0),124)</f>
        <v>37.5</v>
      </c>
      <c r="P126" s="49">
        <f ca="1">OFFSET(S!$A$16,MATCH($C$2,S!$C$11:$C$47348,0),124)</f>
        <v>43.062200959999998</v>
      </c>
      <c r="Q126" s="49">
        <f ca="1">OFFSET(S!$A$17,MATCH($C$2,S!$C$11:$C$47348,0),124)</f>
        <v>45.918367349999997</v>
      </c>
      <c r="R126" s="49">
        <f ca="1">OFFSET(S!$A$18,MATCH($C$2,S!$C$11:$C$47348,0),124)</f>
        <v>40.358744389999998</v>
      </c>
      <c r="S126" s="3"/>
      <c r="T126" s="3"/>
      <c r="U126" s="3"/>
      <c r="V126" s="3"/>
      <c r="W126" s="3"/>
      <c r="X126" s="4"/>
      <c r="Y126" s="4"/>
      <c r="Z126" s="4"/>
      <c r="AA126" s="102"/>
      <c r="AB126" s="102"/>
      <c r="AC126" s="102"/>
      <c r="AD126" s="102"/>
      <c r="AE126" s="102"/>
      <c r="AF126" s="102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</row>
    <row r="127" spans="1:43">
      <c r="A127" s="10" t="s">
        <v>158</v>
      </c>
      <c r="B127" s="16">
        <f ca="1">OFFSET(Y!$A$11,MATCH($C$2,Y!$C$11:$C$48345,0),125)</f>
        <v>1.02</v>
      </c>
      <c r="C127" s="16">
        <f ca="1">OFFSET(Y!$A$12,MATCH($C$2,Y!$C$11:$C$48345,0),125)</f>
        <v>1.31</v>
      </c>
      <c r="D127" s="16">
        <f ca="1">OFFSET(Y!$A$13,MATCH($C$2,Y!$C$11:$C$48345,0),125)</f>
        <v>1.21</v>
      </c>
      <c r="E127" s="16">
        <f ca="1">OFFSET(Y!$A$14,MATCH($C$2,Y!$C$11:$C$48345,0),125)</f>
        <v>1.42</v>
      </c>
      <c r="F127" s="16">
        <f ca="1">OFFSET(Y!$A$15,MATCH($C$2,Y!$C$11:$C$48345,0),125)</f>
        <v>1.36</v>
      </c>
      <c r="G127" s="16">
        <f ca="1">OFFSET(Y!$A$16,MATCH($C$2,Y!$C$11:$C$48345,0),125)</f>
        <v>1.42</v>
      </c>
      <c r="H127" s="16">
        <f ca="1">OFFSET(Y!$A$17,MATCH($C$2,Y!$C$11:$C$48345,0),125)</f>
        <v>1.2</v>
      </c>
      <c r="I127" s="16">
        <f ca="1">OFFSET(Y!$A$18,MATCH($C$2,Y!$C$11:$C$48345,0),125)</f>
        <v>1.23</v>
      </c>
      <c r="J127" s="12" t="s">
        <v>158</v>
      </c>
      <c r="K127" s="41">
        <f ca="1">OFFSET(S!$A$11,MATCH($C$2,S!$C$11:$C$47348,0),125)</f>
        <v>0.26</v>
      </c>
      <c r="L127" s="41">
        <f ca="1">OFFSET(S!$A$12,MATCH($C$2,S!$C$11:$C$47348,0),125)</f>
        <v>0.26</v>
      </c>
      <c r="M127" s="41">
        <f ca="1">OFFSET(S!$A$13,MATCH($C$2,S!$C$11:$C$47348,0),125)</f>
        <v>0.22</v>
      </c>
      <c r="N127" s="41">
        <f ca="1">OFFSET(S!$A$14,MATCH($C$2,S!$C$11:$C$47348,0),125)</f>
        <v>0.23</v>
      </c>
      <c r="O127" s="41">
        <f ca="1">OFFSET(S!$A$15,MATCH($C$2,S!$C$11:$C$47348,0),125)</f>
        <v>0.24</v>
      </c>
      <c r="P127" s="41">
        <f ca="1">OFFSET(S!$A$16,MATCH($C$2,S!$C$11:$C$47348,0),125)</f>
        <v>0.25</v>
      </c>
      <c r="Q127" s="41">
        <f ca="1">OFFSET(S!$A$17,MATCH($C$2,S!$C$11:$C$47348,0),125)</f>
        <v>0.26</v>
      </c>
      <c r="R127" s="41">
        <f ca="1">OFFSET(S!$A$18,MATCH($C$2,S!$C$11:$C$47348,0),125)</f>
        <v>0.31</v>
      </c>
      <c r="S127" s="3"/>
      <c r="T127" s="3"/>
      <c r="U127" s="3"/>
      <c r="V127" s="3"/>
      <c r="W127" s="3"/>
      <c r="X127" s="4"/>
      <c r="Y127" s="4"/>
      <c r="Z127" s="4"/>
      <c r="AA127" s="102"/>
      <c r="AB127" s="102"/>
      <c r="AC127" s="102"/>
      <c r="AD127" s="102"/>
      <c r="AE127" s="102"/>
      <c r="AF127" s="102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</row>
    <row r="128" spans="1:43">
      <c r="A128" s="7" t="s">
        <v>159</v>
      </c>
      <c r="B128" s="14">
        <f ca="1">OFFSET(Y!$A$11,MATCH($C$2,Y!$C$11:$C$48345,0),126)</f>
        <v>0.56999999999999995</v>
      </c>
      <c r="C128" s="14">
        <f ca="1">OFFSET(Y!$A$12,MATCH($C$2,Y!$C$11:$C$48345,0),126)</f>
        <v>0.64</v>
      </c>
      <c r="D128" s="14">
        <f ca="1">OFFSET(Y!$A$13,MATCH($C$2,Y!$C$11:$C$48345,0),126)</f>
        <v>0.51</v>
      </c>
      <c r="E128" s="14">
        <f ca="1">OFFSET(Y!$A$14,MATCH($C$2,Y!$C$11:$C$48345,0),126)</f>
        <v>0.59</v>
      </c>
      <c r="F128" s="14">
        <f ca="1">OFFSET(Y!$A$15,MATCH($C$2,Y!$C$11:$C$48345,0),126)</f>
        <v>0.56000000000000005</v>
      </c>
      <c r="G128" s="14">
        <f ca="1">OFFSET(Y!$A$16,MATCH($C$2,Y!$C$11:$C$48345,0),126)</f>
        <v>0.57999999999999996</v>
      </c>
      <c r="H128" s="14">
        <f ca="1">OFFSET(Y!$A$17,MATCH($C$2,Y!$C$11:$C$48345,0),126)</f>
        <v>0.53</v>
      </c>
      <c r="I128" s="14">
        <f ca="1">OFFSET(Y!$A$18,MATCH($C$2,Y!$C$11:$C$48345,0),126)</f>
        <v>0.57999999999999996</v>
      </c>
      <c r="J128" s="7" t="s">
        <v>159</v>
      </c>
      <c r="K128" s="14">
        <f ca="1">OFFSET(S!$A$11,MATCH($C$2,S!$C$11:$C$47348,0),126)</f>
        <v>0.16</v>
      </c>
      <c r="L128" s="14">
        <f ca="1">OFFSET(S!$A$12,MATCH($C$2,S!$C$11:$C$47348,0),126)</f>
        <v>0.15</v>
      </c>
      <c r="M128" s="14">
        <f ca="1">OFFSET(S!$A$13,MATCH($C$2,S!$C$11:$C$47348,0),126)</f>
        <v>0.13</v>
      </c>
      <c r="N128" s="14">
        <f ca="1">OFFSET(S!$A$14,MATCH($C$2,S!$C$11:$C$47348,0),126)</f>
        <v>0.14000000000000001</v>
      </c>
      <c r="O128" s="14">
        <f ca="1">OFFSET(S!$A$15,MATCH($C$2,S!$C$11:$C$47348,0),126)</f>
        <v>0.14000000000000001</v>
      </c>
      <c r="P128" s="14">
        <f ca="1">OFFSET(S!$A$16,MATCH($C$2,S!$C$11:$C$47348,0),126)</f>
        <v>0.14000000000000001</v>
      </c>
      <c r="Q128" s="14">
        <f ca="1">OFFSET(S!$A$17,MATCH($C$2,S!$C$11:$C$47348,0),126)</f>
        <v>0.14000000000000001</v>
      </c>
      <c r="R128" s="14">
        <f ca="1">OFFSET(S!$A$18,MATCH($C$2,S!$C$11:$C$47348,0),126)</f>
        <v>0.16</v>
      </c>
      <c r="S128" s="3"/>
      <c r="T128" s="3"/>
      <c r="U128" s="3"/>
      <c r="V128" s="3"/>
      <c r="W128" s="3"/>
      <c r="X128" s="4"/>
      <c r="Y128" s="4"/>
      <c r="Z128" s="4"/>
      <c r="AA128" s="102"/>
      <c r="AB128" s="102"/>
      <c r="AC128" s="102"/>
      <c r="AD128" s="102"/>
      <c r="AE128" s="102"/>
      <c r="AF128" s="102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</row>
    <row r="129" spans="1:43">
      <c r="A129" s="10" t="s">
        <v>160</v>
      </c>
      <c r="B129" s="50">
        <f ca="1">OFFSET(Y!$A$11,MATCH($C$2,Y!$C$11:$C$48345,0),127)</f>
        <v>13889</v>
      </c>
      <c r="C129" s="50">
        <f ca="1">OFFSET(Y!$A$12,MATCH($C$2,Y!$C$11:$C$48345,0),127)</f>
        <v>13598</v>
      </c>
      <c r="D129" s="50">
        <f ca="1">OFFSET(Y!$A$13,MATCH($C$2,Y!$C$11:$C$48345,0),127)</f>
        <v>12818</v>
      </c>
      <c r="E129" s="50">
        <f ca="1">OFFSET(Y!$A$14,MATCH($C$2,Y!$C$11:$C$48345,0),127)</f>
        <v>15754</v>
      </c>
      <c r="F129" s="50">
        <f ca="1">OFFSET(Y!$A$15,MATCH($C$2,Y!$C$11:$C$48345,0),127)</f>
        <v>15259</v>
      </c>
      <c r="G129" s="50">
        <f ca="1">OFFSET(Y!$A$16,MATCH($C$2,Y!$C$11:$C$48345,0),127)</f>
        <v>15537</v>
      </c>
      <c r="H129" s="50">
        <f ca="1">OFFSET(Y!$A$17,MATCH($C$2,Y!$C$11:$C$48345,0),127)</f>
        <v>13597</v>
      </c>
      <c r="I129" s="50">
        <f ca="1">OFFSET(Y!$A$18,MATCH($C$2,Y!$C$11:$C$48345,0),127)</f>
        <v>13791</v>
      </c>
      <c r="J129" s="12" t="s">
        <v>160</v>
      </c>
      <c r="K129" s="17">
        <f ca="1">OFFSET(S!$A$11,MATCH($C$2,S!$C$11:$C$47348,0),127)</f>
        <v>4302</v>
      </c>
      <c r="L129" s="17">
        <f ca="1">OFFSET(S!$A$12,MATCH($C$2,S!$C$11:$C$47348,0),127)</f>
        <v>3997</v>
      </c>
      <c r="M129" s="17">
        <f ca="1">OFFSET(S!$A$13,MATCH($C$2,S!$C$11:$C$47348,0),127)</f>
        <v>3469</v>
      </c>
      <c r="N129" s="17">
        <f ca="1">OFFSET(S!$A$14,MATCH($C$2,S!$C$11:$C$47348,0),127)</f>
        <v>3422</v>
      </c>
      <c r="O129" s="17">
        <f ca="1">OFFSET(S!$A$15,MATCH($C$2,S!$C$11:$C$47348,0),127)</f>
        <v>3503</v>
      </c>
      <c r="P129" s="17">
        <f ca="1">OFFSET(S!$A$16,MATCH($C$2,S!$C$11:$C$47348,0),127)</f>
        <v>3552</v>
      </c>
      <c r="Q129" s="17">
        <f ca="1">OFFSET(S!$A$17,MATCH($C$2,S!$C$11:$C$47348,0),127)</f>
        <v>3386</v>
      </c>
      <c r="R129" s="17">
        <f ca="1">OFFSET(S!$A$18,MATCH($C$2,S!$C$11:$C$47348,0),127)</f>
        <v>3570</v>
      </c>
      <c r="S129" s="3"/>
      <c r="T129" s="3"/>
      <c r="U129" s="3"/>
      <c r="V129" s="3"/>
      <c r="W129" s="3"/>
      <c r="X129" s="4"/>
      <c r="Y129" s="4"/>
      <c r="Z129" s="4"/>
      <c r="AA129" s="102"/>
      <c r="AB129" s="102"/>
      <c r="AC129" s="102"/>
      <c r="AD129" s="102"/>
      <c r="AE129" s="102"/>
      <c r="AF129" s="102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</row>
    <row r="130" spans="1:43">
      <c r="A130" s="7" t="s">
        <v>161</v>
      </c>
      <c r="B130" s="14">
        <f ca="1">OFFSET(Y!$A$11,MATCH($C$2,Y!$C$11:$C$48345,0),128)</f>
        <v>0.69</v>
      </c>
      <c r="C130" s="14">
        <f ca="1">OFFSET(Y!$A$12,MATCH($C$2,Y!$C$11:$C$48345,0),128)</f>
        <v>0.76</v>
      </c>
      <c r="D130" s="14">
        <f ca="1">OFFSET(Y!$A$13,MATCH($C$2,Y!$C$11:$C$48345,0),128)</f>
        <v>0.59</v>
      </c>
      <c r="E130" s="14">
        <f ca="1">OFFSET(Y!$A$14,MATCH($C$2,Y!$C$11:$C$48345,0),128)</f>
        <v>0.67</v>
      </c>
      <c r="F130" s="14">
        <f ca="1">OFFSET(Y!$A$15,MATCH($C$2,Y!$C$11:$C$48345,0),128)</f>
        <v>0.63</v>
      </c>
      <c r="G130" s="14">
        <f ca="1">OFFSET(Y!$A$16,MATCH($C$2,Y!$C$11:$C$48345,0),128)</f>
        <v>0.66</v>
      </c>
      <c r="H130" s="14">
        <f ca="1">OFFSET(Y!$A$17,MATCH($C$2,Y!$C$11:$C$48345,0),128)</f>
        <v>0.63</v>
      </c>
      <c r="I130" s="14">
        <f ca="1">OFFSET(Y!$A$18,MATCH($C$2,Y!$C$11:$C$48345,0),128)</f>
        <v>0.7</v>
      </c>
      <c r="J130" s="7" t="s">
        <v>161</v>
      </c>
      <c r="K130" s="14">
        <f ca="1">OFFSET(S!$A$11,MATCH($C$2,S!$C$11:$C$47348,0),128)</f>
        <v>0.21</v>
      </c>
      <c r="L130" s="14">
        <f ca="1">OFFSET(S!$A$12,MATCH($C$2,S!$C$11:$C$47348,0),128)</f>
        <v>0.2</v>
      </c>
      <c r="M130" s="14">
        <f ca="1">OFFSET(S!$A$13,MATCH($C$2,S!$C$11:$C$47348,0),128)</f>
        <v>0.16</v>
      </c>
      <c r="N130" s="14">
        <f ca="1">OFFSET(S!$A$14,MATCH($C$2,S!$C$11:$C$47348,0),128)</f>
        <v>0.17</v>
      </c>
      <c r="O130" s="14">
        <f ca="1">OFFSET(S!$A$15,MATCH($C$2,S!$C$11:$C$47348,0),128)</f>
        <v>0.18</v>
      </c>
      <c r="P130" s="14">
        <f ca="1">OFFSET(S!$A$16,MATCH($C$2,S!$C$11:$C$47348,0),128)</f>
        <v>0.18</v>
      </c>
      <c r="Q130" s="14">
        <f ca="1">OFFSET(S!$A$17,MATCH($C$2,S!$C$11:$C$47348,0),128)</f>
        <v>0.17</v>
      </c>
      <c r="R130" s="14">
        <f ca="1">OFFSET(S!$A$18,MATCH($C$2,S!$C$11:$C$47348,0),128)</f>
        <v>0.19</v>
      </c>
      <c r="S130" s="3"/>
      <c r="T130" s="3"/>
      <c r="U130" s="3"/>
      <c r="V130" s="3"/>
      <c r="W130" s="3"/>
      <c r="X130" s="4"/>
      <c r="Y130" s="4"/>
      <c r="Z130" s="4"/>
      <c r="AA130" s="102"/>
      <c r="AB130" s="102"/>
      <c r="AC130" s="102"/>
      <c r="AD130" s="102"/>
      <c r="AE130" s="102"/>
      <c r="AF130" s="102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</row>
    <row r="131" spans="1:43">
      <c r="A131" s="10" t="s">
        <v>162</v>
      </c>
      <c r="B131" s="16">
        <f ca="1">OFFSET(Y!$A$11,MATCH($C$2,Y!$C$11:$C$48345,0),129)</f>
        <v>20.94</v>
      </c>
      <c r="C131" s="16">
        <f ca="1">OFFSET(Y!$A$12,MATCH($C$2,Y!$C$11:$C$48345,0),129)</f>
        <v>22.14</v>
      </c>
      <c r="D131" s="16">
        <f ca="1">OFFSET(Y!$A$13,MATCH($C$2,Y!$C$11:$C$48345,0),129)</f>
        <v>16.63</v>
      </c>
      <c r="E131" s="16">
        <f ca="1">OFFSET(Y!$A$14,MATCH($C$2,Y!$C$11:$C$48345,0),129)</f>
        <v>13.47</v>
      </c>
      <c r="F131" s="16">
        <f ca="1">OFFSET(Y!$A$15,MATCH($C$2,Y!$C$11:$C$48345,0),129)</f>
        <v>13.28</v>
      </c>
      <c r="G131" s="16">
        <f ca="1">OFFSET(Y!$A$16,MATCH($C$2,Y!$C$11:$C$48345,0),129)</f>
        <v>12.91</v>
      </c>
      <c r="H131" s="16">
        <f ca="1">OFFSET(Y!$A$17,MATCH($C$2,Y!$C$11:$C$48345,0),129)</f>
        <v>13.89</v>
      </c>
      <c r="I131" s="16">
        <f ca="1">OFFSET(Y!$A$18,MATCH($C$2,Y!$C$11:$C$48345,0),129)</f>
        <v>22.2</v>
      </c>
      <c r="J131" s="12" t="s">
        <v>162</v>
      </c>
      <c r="K131" s="41">
        <f ca="1">OFFSET(S!$A$11,MATCH($C$2,S!$C$11:$C$47348,0),129)</f>
        <v>28.98</v>
      </c>
      <c r="L131" s="41">
        <f ca="1">OFFSET(S!$A$12,MATCH($C$2,S!$C$11:$C$47348,0),129)</f>
        <v>39.19</v>
      </c>
      <c r="M131" s="41">
        <f ca="1">OFFSET(S!$A$13,MATCH($C$2,S!$C$11:$C$47348,0),129)</f>
        <v>24.24</v>
      </c>
      <c r="N131" s="41">
        <f ca="1">OFFSET(S!$A$14,MATCH($C$2,S!$C$11:$C$47348,0),129)</f>
        <v>20.94</v>
      </c>
      <c r="O131" s="41">
        <f ca="1">OFFSET(S!$A$15,MATCH($C$2,S!$C$11:$C$47348,0),129)</f>
        <v>21.83</v>
      </c>
      <c r="P131" s="41">
        <f ca="1">OFFSET(S!$A$16,MATCH($C$2,S!$C$11:$C$47348,0),129)</f>
        <v>35.81</v>
      </c>
      <c r="Q131" s="41">
        <f ca="1">OFFSET(S!$A$17,MATCH($C$2,S!$C$11:$C$47348,0),129)</f>
        <v>20.38</v>
      </c>
      <c r="R131" s="41">
        <f ca="1">OFFSET(S!$A$18,MATCH($C$2,S!$C$11:$C$47348,0),129)</f>
        <v>22.14</v>
      </c>
      <c r="S131" s="3"/>
      <c r="T131" s="3"/>
      <c r="U131" s="3"/>
      <c r="V131" s="3"/>
      <c r="W131" s="3"/>
      <c r="X131" s="4"/>
      <c r="Y131" s="4"/>
      <c r="Z131" s="4"/>
      <c r="AA131" s="102"/>
      <c r="AB131" s="102"/>
      <c r="AC131" s="102"/>
      <c r="AD131" s="102"/>
      <c r="AE131" s="102"/>
      <c r="AF131" s="102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</row>
    <row r="132" spans="1:43">
      <c r="A132" s="7" t="s">
        <v>163</v>
      </c>
      <c r="B132" s="49">
        <f ca="1">OFFSET(Y!$A$11,MATCH($C$2,Y!$C$11:$C$48345,0),130)</f>
        <v>142.52000000000001</v>
      </c>
      <c r="C132" s="49">
        <f ca="1">OFFSET(Y!$A$12,MATCH($C$2,Y!$C$11:$C$48345,0),130)</f>
        <v>157.72999999999999</v>
      </c>
      <c r="D132" s="49">
        <f ca="1">OFFSET(Y!$A$13,MATCH($C$2,Y!$C$11:$C$48345,0),130)</f>
        <v>196.27</v>
      </c>
      <c r="E132" s="49">
        <f ca="1">OFFSET(Y!$A$14,MATCH($C$2,Y!$C$11:$C$48345,0),130)</f>
        <v>219.72</v>
      </c>
      <c r="F132" s="49">
        <f ca="1">OFFSET(Y!$A$15,MATCH($C$2,Y!$C$11:$C$48345,0),130)</f>
        <v>213.63</v>
      </c>
      <c r="G132" s="49">
        <f ca="1">OFFSET(Y!$A$16,MATCH($C$2,Y!$C$11:$C$48345,0),130)</f>
        <v>228.78</v>
      </c>
      <c r="H132" s="49">
        <f ca="1">OFFSET(Y!$A$17,MATCH($C$2,Y!$C$11:$C$48345,0),130)</f>
        <v>218.42</v>
      </c>
      <c r="I132" s="49">
        <f ca="1">OFFSET(Y!$A$18,MATCH($C$2,Y!$C$11:$C$48345,0),130)</f>
        <v>185.42</v>
      </c>
      <c r="J132" s="7" t="s">
        <v>163</v>
      </c>
      <c r="K132" s="49">
        <f ca="1">OFFSET(S!$A$11,MATCH($C$2,S!$C$11:$C$47348,0),130)</f>
        <v>136.94999999999999</v>
      </c>
      <c r="L132" s="49">
        <f ca="1">OFFSET(S!$A$12,MATCH($C$2,S!$C$11:$C$47348,0),130)</f>
        <v>128.85</v>
      </c>
      <c r="M132" s="49">
        <f ca="1">OFFSET(S!$A$13,MATCH($C$2,S!$C$11:$C$47348,0),130)</f>
        <v>146.35</v>
      </c>
      <c r="N132" s="49">
        <f ca="1">OFFSET(S!$A$14,MATCH($C$2,S!$C$11:$C$47348,0),130)</f>
        <v>142.52000000000001</v>
      </c>
      <c r="O132" s="49">
        <f ca="1">OFFSET(S!$A$15,MATCH($C$2,S!$C$11:$C$47348,0),130)</f>
        <v>140.97999999999999</v>
      </c>
      <c r="P132" s="49">
        <f ca="1">OFFSET(S!$A$16,MATCH($C$2,S!$C$11:$C$47348,0),130)</f>
        <v>125.65</v>
      </c>
      <c r="Q132" s="49">
        <f ca="1">OFFSET(S!$A$17,MATCH($C$2,S!$C$11:$C$47348,0),130)</f>
        <v>147.74</v>
      </c>
      <c r="R132" s="49">
        <f ca="1">OFFSET(S!$A$18,MATCH($C$2,S!$C$11:$C$47348,0),130)</f>
        <v>157.72999999999999</v>
      </c>
      <c r="S132" s="64"/>
      <c r="T132" s="64"/>
      <c r="U132" s="64"/>
      <c r="V132" s="64"/>
      <c r="W132" s="64"/>
      <c r="X132" s="24"/>
      <c r="Y132" s="24"/>
      <c r="Z132" s="24"/>
      <c r="AA132" s="102"/>
      <c r="AB132" s="102"/>
      <c r="AC132" s="102"/>
      <c r="AD132" s="102"/>
      <c r="AE132" s="102"/>
      <c r="AF132" s="102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</row>
    <row r="133" spans="1:43">
      <c r="A133" s="10" t="s">
        <v>164</v>
      </c>
      <c r="B133" s="51">
        <f ca="1">OFFSET(Y!$A$11,MATCH($C$2,Y!$C$11:$C$48345,0),131)</f>
        <v>0.16994962</v>
      </c>
      <c r="C133" s="51">
        <f ca="1">OFFSET(Y!$A$12,MATCH($C$2,Y!$C$11:$C$48345,0),131)</f>
        <v>0.16815070400000001</v>
      </c>
      <c r="D133" s="51">
        <f ca="1">OFFSET(Y!$A$13,MATCH($C$2,Y!$C$11:$C$48345,0),131)</f>
        <v>0.205096055</v>
      </c>
      <c r="E133" s="51">
        <f ca="1">OFFSET(Y!$A$14,MATCH($C$2,Y!$C$11:$C$48345,0),131)</f>
        <v>0.229734405</v>
      </c>
      <c r="F133" s="51">
        <f ca="1">OFFSET(Y!$A$15,MATCH($C$2,Y!$C$11:$C$48345,0),131)</f>
        <v>0.224532552</v>
      </c>
      <c r="G133" s="51">
        <f ca="1">OFFSET(Y!$A$16,MATCH($C$2,Y!$C$11:$C$48345,0),131)</f>
        <v>0.23950765800000001</v>
      </c>
      <c r="H133" s="51">
        <f ca="1">OFFSET(Y!$A$17,MATCH($C$2,Y!$C$11:$C$48345,0),131)</f>
        <v>0.158923435</v>
      </c>
      <c r="I133" s="51">
        <f ca="1">OFFSET(Y!$A$18,MATCH($C$2,Y!$C$11:$C$48345,0),131)</f>
        <v>0.15032827200000001</v>
      </c>
      <c r="J133" s="12" t="s">
        <v>164</v>
      </c>
      <c r="K133" s="52">
        <f ca="1">OFFSET(S!$A$11,MATCH($C$2,S!$C$11:$C$47348,0),131)</f>
        <v>0.15310047900000001</v>
      </c>
      <c r="L133" s="52">
        <f ca="1">OFFSET(S!$A$12,MATCH($C$2,S!$C$11:$C$47348,0),131)</f>
        <v>0.152800503</v>
      </c>
      <c r="M133" s="52">
        <f ca="1">OFFSET(S!$A$13,MATCH($C$2,S!$C$11:$C$47348,0),131)</f>
        <v>0.15721858799999999</v>
      </c>
      <c r="N133" s="52">
        <f ca="1">OFFSET(S!$A$14,MATCH($C$2,S!$C$11:$C$47348,0),131)</f>
        <v>0.16994962</v>
      </c>
      <c r="O133" s="52">
        <f ca="1">OFFSET(S!$A$15,MATCH($C$2,S!$C$11:$C$47348,0),131)</f>
        <v>0.17298175599999999</v>
      </c>
      <c r="P133" s="52">
        <f ca="1">OFFSET(S!$A$16,MATCH($C$2,S!$C$11:$C$47348,0),131)</f>
        <v>0.146709703</v>
      </c>
      <c r="Q133" s="52">
        <f ca="1">OFFSET(S!$A$17,MATCH($C$2,S!$C$11:$C$47348,0),131)</f>
        <v>0.15982545400000001</v>
      </c>
      <c r="R133" s="52">
        <f ca="1">OFFSET(S!$A$18,MATCH($C$2,S!$C$11:$C$47348,0),131)</f>
        <v>0.16815070400000001</v>
      </c>
      <c r="S133" s="64"/>
      <c r="T133" s="64"/>
      <c r="U133" s="64"/>
      <c r="V133" s="64"/>
      <c r="W133" s="64"/>
      <c r="X133" s="24"/>
      <c r="Y133" s="24"/>
      <c r="Z133" s="24"/>
      <c r="AA133" s="102"/>
      <c r="AB133" s="102"/>
      <c r="AC133" s="102"/>
      <c r="AD133" s="102"/>
      <c r="AE133" s="102"/>
      <c r="AF133" s="102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</row>
    <row r="134" spans="1:43">
      <c r="A134" s="7" t="s">
        <v>165</v>
      </c>
      <c r="B134" s="43">
        <f ca="1">OFFSET(Y!$A$11,MATCH($C$2,Y!$C$11:$C$48345,0),132)</f>
        <v>2.9196065E-2</v>
      </c>
      <c r="C134" s="43">
        <f ca="1">OFFSET(Y!$A$12,MATCH($C$2,Y!$C$11:$C$48345,0),132)</f>
        <v>6.0306664000000003E-2</v>
      </c>
      <c r="D134" s="43">
        <f ca="1">OFFSET(Y!$A$13,MATCH($C$2,Y!$C$11:$C$48345,0),132)</f>
        <v>0</v>
      </c>
      <c r="E134" s="43">
        <f ca="1">OFFSET(Y!$A$14,MATCH($C$2,Y!$C$11:$C$48345,0),132)</f>
        <v>5.8783299999999995E-4</v>
      </c>
      <c r="F134" s="43">
        <f ca="1">OFFSET(Y!$A$15,MATCH($C$2,Y!$C$11:$C$48345,0),132)</f>
        <v>4.4135570999999998E-2</v>
      </c>
      <c r="G134" s="43">
        <f ca="1">OFFSET(Y!$A$16,MATCH($C$2,Y!$C$11:$C$48345,0),132)</f>
        <v>4.023206E-2</v>
      </c>
      <c r="H134" s="43">
        <f ca="1">OFFSET(Y!$A$17,MATCH($C$2,Y!$C$11:$C$48345,0),132)</f>
        <v>0</v>
      </c>
      <c r="I134" s="43">
        <f ca="1">OFFSET(Y!$A$18,MATCH($C$2,Y!$C$11:$C$48345,0),132)</f>
        <v>5.5121226000000002E-2</v>
      </c>
      <c r="J134" s="7" t="s">
        <v>165</v>
      </c>
      <c r="K134" s="43">
        <f ca="1">OFFSET(S!$A$11,MATCH($C$2,S!$C$11:$C$47348,0),132)</f>
        <v>1.7476953E-2</v>
      </c>
      <c r="L134" s="43">
        <f ca="1">OFFSET(S!$A$12,MATCH($C$2,S!$C$11:$C$47348,0),132)</f>
        <v>3.070813E-2</v>
      </c>
      <c r="M134" s="43">
        <f ca="1">OFFSET(S!$A$13,MATCH($C$2,S!$C$11:$C$47348,0),132)</f>
        <v>7.6298629999999997E-3</v>
      </c>
      <c r="N134" s="43">
        <f ca="1">OFFSET(S!$A$14,MATCH($C$2,S!$C$11:$C$47348,0),132)</f>
        <v>1.901067E-3</v>
      </c>
      <c r="O134" s="43">
        <f ca="1">OFFSET(S!$A$15,MATCH($C$2,S!$C$11:$C$47348,0),132)</f>
        <v>4.8908859999999997E-3</v>
      </c>
      <c r="P134" s="43">
        <f ca="1">OFFSET(S!$A$16,MATCH($C$2,S!$C$11:$C$47348,0),132)</f>
        <v>1.1908046E-2</v>
      </c>
      <c r="Q134" s="43">
        <f ca="1">OFFSET(S!$A$17,MATCH($C$2,S!$C$11:$C$47348,0),132)</f>
        <v>1.3488778E-2</v>
      </c>
      <c r="R134" s="43">
        <f ca="1">OFFSET(S!$A$18,MATCH($C$2,S!$C$11:$C$47348,0),132)</f>
        <v>2.0642163000000002E-2</v>
      </c>
      <c r="S134" s="64"/>
      <c r="T134" s="64"/>
      <c r="U134" s="64"/>
      <c r="V134" s="64"/>
      <c r="W134" s="64"/>
      <c r="X134" s="24"/>
      <c r="Y134" s="24"/>
      <c r="Z134" s="24"/>
      <c r="AA134" s="102"/>
      <c r="AB134" s="102"/>
      <c r="AC134" s="102"/>
      <c r="AD134" s="102"/>
      <c r="AE134" s="102"/>
      <c r="AF134" s="102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</row>
    <row r="135" spans="1:43">
      <c r="A135" s="10" t="s">
        <v>166</v>
      </c>
      <c r="B135" s="16">
        <f ca="1">OFFSET(Y!$A$11,MATCH($C$2,Y!$C$11:$C$48345,0),133)</f>
        <v>5.7763818709999999</v>
      </c>
      <c r="C135" s="16">
        <f ca="1">OFFSET(Y!$A$12,MATCH($C$2,Y!$C$11:$C$48345,0),133)</f>
        <v>5.5174475789999997</v>
      </c>
      <c r="D135" s="16">
        <f ca="1">OFFSET(Y!$A$13,MATCH($C$2,Y!$C$11:$C$48345,0),133)</f>
        <v>7.0123749149999997</v>
      </c>
      <c r="E135" s="16">
        <f ca="1">OFFSET(Y!$A$14,MATCH($C$2,Y!$C$11:$C$48345,0),133)</f>
        <v>8.4222835059999994</v>
      </c>
      <c r="F135" s="16">
        <f ca="1">OFFSET(Y!$A$15,MATCH($C$2,Y!$C$11:$C$48345,0),133)</f>
        <v>8.5306813439999996</v>
      </c>
      <c r="G135" s="16">
        <f ca="1">OFFSET(Y!$A$16,MATCH($C$2,Y!$C$11:$C$48345,0),133)</f>
        <v>8.7431406620000001</v>
      </c>
      <c r="H135" s="16">
        <f ca="1">OFFSET(Y!$A$17,MATCH($C$2,Y!$C$11:$C$48345,0),133)</f>
        <v>8.1981618180000009</v>
      </c>
      <c r="I135" s="16">
        <f ca="1">OFFSET(Y!$A$18,MATCH($C$2,Y!$C$11:$C$48345,0),133)</f>
        <v>5.503600939</v>
      </c>
      <c r="J135" s="12" t="s">
        <v>166</v>
      </c>
      <c r="K135" s="41">
        <f ca="1">OFFSET(S!$A$11,MATCH($C$2,S!$C$11:$C$47348,0),133)</f>
        <v>4.4503478259999998</v>
      </c>
      <c r="L135" s="41">
        <f ca="1">OFFSET(S!$A$12,MATCH($C$2,S!$C$11:$C$47348,0),133)</f>
        <v>3.55174952</v>
      </c>
      <c r="M135" s="41">
        <f ca="1">OFFSET(S!$A$13,MATCH($C$2,S!$C$11:$C$47348,0),133)</f>
        <v>5.1255391530000001</v>
      </c>
      <c r="N135" s="41">
        <f ca="1">OFFSET(S!$A$14,MATCH($C$2,S!$C$11:$C$47348,0),133)</f>
        <v>5.7763818709999999</v>
      </c>
      <c r="O135" s="41">
        <f ca="1">OFFSET(S!$A$15,MATCH($C$2,S!$C$11:$C$47348,0),133)</f>
        <v>5.5816756850000004</v>
      </c>
      <c r="P135" s="41">
        <f ca="1">OFFSET(S!$A$16,MATCH($C$2,S!$C$11:$C$47348,0),133)</f>
        <v>3.7928963019999999</v>
      </c>
      <c r="Q135" s="41">
        <f ca="1">OFFSET(S!$A$17,MATCH($C$2,S!$C$11:$C$47348,0),133)</f>
        <v>5.9075623469999998</v>
      </c>
      <c r="R135" s="41">
        <f ca="1">OFFSET(S!$A$18,MATCH($C$2,S!$C$11:$C$47348,0),133)</f>
        <v>5.5174475789999997</v>
      </c>
      <c r="S135" s="3"/>
      <c r="T135" s="3"/>
      <c r="U135" s="3"/>
      <c r="V135" s="3"/>
      <c r="W135" s="3"/>
      <c r="X135" s="4"/>
      <c r="Y135" s="4"/>
      <c r="Z135" s="4"/>
      <c r="AA135" s="102"/>
      <c r="AB135" s="102"/>
      <c r="AC135" s="102"/>
      <c r="AD135" s="102"/>
      <c r="AE135" s="102"/>
      <c r="AF135" s="102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</row>
    <row r="136" spans="1:43">
      <c r="A136" s="53" t="s">
        <v>247</v>
      </c>
      <c r="B136" s="21">
        <f ca="1">OFFSET(Y!$A$11,MATCH($C$2,Y!$C$11:$C$48345,0),134)</f>
        <v>134201</v>
      </c>
      <c r="C136" s="21">
        <f ca="1">OFFSET(Y!$A$12,MATCH($C$2,Y!$C$11:$C$48345,0),134)</f>
        <v>161605</v>
      </c>
      <c r="D136" s="21">
        <f ca="1">OFFSET(Y!$A$13,MATCH($C$2,Y!$C$11:$C$48345,0),134)</f>
        <v>89218</v>
      </c>
      <c r="E136" s="21">
        <f ca="1">OFFSET(Y!$A$14,MATCH($C$2,Y!$C$11:$C$48345,0),134)</f>
        <v>99933</v>
      </c>
      <c r="F136" s="21">
        <f ca="1">OFFSET(Y!$A$15,MATCH($C$2,Y!$C$11:$C$48345,0),134)</f>
        <v>109177</v>
      </c>
      <c r="G136" s="21">
        <f ca="1">OFFSET(Y!$A$16,MATCH($C$2,Y!$C$11:$C$48345,0),134)</f>
        <v>127010</v>
      </c>
      <c r="H136" s="21">
        <f ca="1">OFFSET(Y!$A$17,MATCH($C$2,Y!$C$11:$C$48345,0),134)</f>
        <v>93575</v>
      </c>
      <c r="I136" s="21">
        <f ca="1">OFFSET(Y!$A$18,MATCH($C$2,Y!$C$11:$C$48345,0),134)</f>
        <v>92316</v>
      </c>
      <c r="J136" s="7" t="s">
        <v>247</v>
      </c>
      <c r="K136" s="21">
        <f ca="1">OFFSET(S!$A$11,MATCH($C$2,S!$C$11:$C$47348,0),134)</f>
        <v>49303</v>
      </c>
      <c r="L136" s="21">
        <f ca="1">OFFSET(S!$A$12,MATCH($C$2,S!$C$11:$C$47348,0),134)</f>
        <v>41813</v>
      </c>
      <c r="M136" s="21">
        <f ca="1">OFFSET(S!$A$13,MATCH($C$2,S!$C$11:$C$47348,0),134)</f>
        <v>33474</v>
      </c>
      <c r="N136" s="21">
        <f ca="1">OFFSET(S!$A$14,MATCH($C$2,S!$C$11:$C$47348,0),134)</f>
        <v>31579</v>
      </c>
      <c r="O136" s="21">
        <f ca="1">OFFSET(S!$A$15,MATCH($C$2,S!$C$11:$C$47348,0),134)</f>
        <v>30395</v>
      </c>
      <c r="P136" s="21">
        <f ca="1">OFFSET(S!$A$16,MATCH($C$2,S!$C$11:$C$47348,0),134)</f>
        <v>35950</v>
      </c>
      <c r="Q136" s="21">
        <f ca="1">OFFSET(S!$A$17,MATCH($C$2,S!$C$11:$C$47348,0),134)</f>
        <v>36278</v>
      </c>
      <c r="R136" s="21">
        <f ca="1">OFFSET(S!$A$18,MATCH($C$2,S!$C$11:$C$47348,0),134)</f>
        <v>40720</v>
      </c>
      <c r="S136" s="3"/>
      <c r="T136" s="3"/>
      <c r="U136" s="3"/>
      <c r="V136" s="3"/>
      <c r="W136" s="3"/>
      <c r="X136" s="4"/>
      <c r="Y136" s="4"/>
      <c r="Z136" s="4"/>
      <c r="AA136" s="102"/>
      <c r="AB136" s="102"/>
      <c r="AC136" s="102"/>
      <c r="AD136" s="102"/>
      <c r="AE136" s="102"/>
      <c r="AF136" s="102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</row>
    <row r="137" spans="1:43">
      <c r="A137" s="54" t="s">
        <v>167</v>
      </c>
      <c r="B137" s="19">
        <f ca="1">OFFSET(Y!$A$11,MATCH($C$2,Y!$C$11:$C$48345,0),135)</f>
        <v>100773</v>
      </c>
      <c r="C137" s="19">
        <f ca="1">OFFSET(Y!$A$12,MATCH($C$2,Y!$C$11:$C$48345,0),135)</f>
        <v>83366</v>
      </c>
      <c r="D137" s="19">
        <f ca="1">OFFSET(Y!$A$13,MATCH($C$2,Y!$C$11:$C$48345,0),135)</f>
        <v>74328</v>
      </c>
      <c r="E137" s="19">
        <f ca="1">OFFSET(Y!$A$14,MATCH($C$2,Y!$C$11:$C$48345,0),135)</f>
        <v>74570</v>
      </c>
      <c r="F137" s="19">
        <f ca="1">OFFSET(Y!$A$15,MATCH($C$2,Y!$C$11:$C$48345,0),135)</f>
        <v>72821</v>
      </c>
      <c r="G137" s="19">
        <f ca="1">OFFSET(Y!$A$16,MATCH($C$2,Y!$C$11:$C$48345,0),135)</f>
        <v>66699</v>
      </c>
      <c r="H137" s="19">
        <f ca="1">OFFSET(Y!$A$17,MATCH($C$2,Y!$C$11:$C$48345,0),135)</f>
        <v>67991</v>
      </c>
      <c r="I137" s="19">
        <f ca="1">OFFSET(Y!$A$18,MATCH($C$2,Y!$C$11:$C$48345,0),135)</f>
        <v>63072</v>
      </c>
      <c r="J137" s="12" t="s">
        <v>167</v>
      </c>
      <c r="K137" s="20">
        <f ca="1">OFFSET(S!$A$11,MATCH($C$2,S!$C$11:$C$47348,0),135)</f>
        <v>32349</v>
      </c>
      <c r="L137" s="20">
        <f ca="1">OFFSET(S!$A$12,MATCH($C$2,S!$C$11:$C$47348,0),135)</f>
        <v>30253</v>
      </c>
      <c r="M137" s="20">
        <f ca="1">OFFSET(S!$A$13,MATCH($C$2,S!$C$11:$C$47348,0),135)</f>
        <v>25913</v>
      </c>
      <c r="N137" s="20">
        <f ca="1">OFFSET(S!$A$14,MATCH($C$2,S!$C$11:$C$47348,0),135)</f>
        <v>25742</v>
      </c>
      <c r="O137" s="20">
        <f ca="1">OFFSET(S!$A$15,MATCH($C$2,S!$C$11:$C$47348,0),135)</f>
        <v>26104</v>
      </c>
      <c r="P137" s="20">
        <f ca="1">OFFSET(S!$A$16,MATCH($C$2,S!$C$11:$C$47348,0),135)</f>
        <v>25575</v>
      </c>
      <c r="Q137" s="20">
        <f ca="1">OFFSET(S!$A$17,MATCH($C$2,S!$C$11:$C$47348,0),135)</f>
        <v>23352</v>
      </c>
      <c r="R137" s="20">
        <f ca="1">OFFSET(S!$A$18,MATCH($C$2,S!$C$11:$C$47348,0),135)</f>
        <v>23814</v>
      </c>
      <c r="S137" s="3"/>
      <c r="T137" s="3"/>
      <c r="U137" s="3"/>
      <c r="V137" s="3"/>
      <c r="W137" s="3"/>
      <c r="X137" s="4"/>
      <c r="Y137" s="4"/>
      <c r="Z137" s="4"/>
      <c r="AA137" s="102"/>
      <c r="AB137" s="102"/>
      <c r="AC137" s="102"/>
      <c r="AD137" s="102"/>
      <c r="AE137" s="102"/>
      <c r="AF137" s="102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</row>
    <row r="138" spans="1:43">
      <c r="A138" s="53" t="s">
        <v>168</v>
      </c>
      <c r="B138" s="21">
        <f ca="1">OFFSET(Y!$A$11,MATCH($C$2,Y!$C$11:$C$48345,0),136)</f>
        <v>2152</v>
      </c>
      <c r="C138" s="21">
        <f ca="1">OFFSET(Y!$A$12,MATCH($C$2,Y!$C$11:$C$48345,0),136)</f>
        <v>0</v>
      </c>
      <c r="D138" s="21">
        <f ca="1">OFFSET(Y!$A$13,MATCH($C$2,Y!$C$11:$C$48345,0),136)</f>
        <v>0</v>
      </c>
      <c r="E138" s="21">
        <f ca="1">OFFSET(Y!$A$14,MATCH($C$2,Y!$C$11:$C$48345,0),136)</f>
        <v>0</v>
      </c>
      <c r="F138" s="21">
        <f ca="1">OFFSET(Y!$A$15,MATCH($C$2,Y!$C$11:$C$48345,0),136)</f>
        <v>0</v>
      </c>
      <c r="G138" s="21">
        <f ca="1">OFFSET(Y!$A$16,MATCH($C$2,Y!$C$11:$C$48345,0),136)</f>
        <v>0</v>
      </c>
      <c r="H138" s="21">
        <f ca="1">OFFSET(Y!$A$17,MATCH($C$2,Y!$C$11:$C$48345,0),136)</f>
        <v>0</v>
      </c>
      <c r="I138" s="21">
        <f ca="1">OFFSET(Y!$A$18,MATCH($C$2,Y!$C$11:$C$48345,0),136)</f>
        <v>29</v>
      </c>
      <c r="J138" s="7" t="s">
        <v>168</v>
      </c>
      <c r="K138" s="21">
        <f ca="1">OFFSET(S!$A$11,MATCH($C$2,S!$C$11:$C$47348,0),136)</f>
        <v>521</v>
      </c>
      <c r="L138" s="21">
        <f ca="1">OFFSET(S!$A$12,MATCH($C$2,S!$C$11:$C$47348,0),136)</f>
        <v>512</v>
      </c>
      <c r="M138" s="21">
        <f ca="1">OFFSET(S!$A$13,MATCH($C$2,S!$C$11:$C$47348,0),136)</f>
        <v>490</v>
      </c>
      <c r="N138" s="21">
        <f ca="1">OFFSET(S!$A$14,MATCH($C$2,S!$C$11:$C$47348,0),136)</f>
        <v>544</v>
      </c>
      <c r="O138" s="21">
        <f ca="1">OFFSET(S!$A$15,MATCH($C$2,S!$C$11:$C$47348,0),136)</f>
        <v>580</v>
      </c>
      <c r="P138" s="21">
        <f ca="1">OFFSET(S!$A$16,MATCH($C$2,S!$C$11:$C$47348,0),136)</f>
        <v>507</v>
      </c>
      <c r="Q138" s="21">
        <f ca="1">OFFSET(S!$A$17,MATCH($C$2,S!$C$11:$C$47348,0),136)</f>
        <v>521</v>
      </c>
      <c r="R138" s="21">
        <f ca="1">OFFSET(S!$A$18,MATCH($C$2,S!$C$11:$C$47348,0),136)</f>
        <v>-1461</v>
      </c>
      <c r="S138" s="3"/>
      <c r="T138" s="3"/>
      <c r="U138" s="3"/>
      <c r="V138" s="3"/>
      <c r="W138" s="3"/>
      <c r="X138" s="4"/>
      <c r="Y138" s="4"/>
      <c r="Z138" s="4"/>
      <c r="AA138" s="102"/>
      <c r="AB138" s="102"/>
      <c r="AC138" s="102"/>
      <c r="AD138" s="102"/>
      <c r="AE138" s="102"/>
      <c r="AF138" s="102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</row>
    <row r="139" spans="1:43">
      <c r="A139" s="54" t="s">
        <v>169</v>
      </c>
      <c r="B139" s="19">
        <f ca="1">OFFSET(Y!$A$11,MATCH($C$2,Y!$C$11:$C$48345,0),137)</f>
        <v>-3778</v>
      </c>
      <c r="C139" s="19">
        <f ca="1">OFFSET(Y!$A$12,MATCH($C$2,Y!$C$11:$C$48345,0),137)</f>
        <v>-7111</v>
      </c>
      <c r="D139" s="19">
        <f ca="1">OFFSET(Y!$A$13,MATCH($C$2,Y!$C$11:$C$48345,0),137)</f>
        <v>0</v>
      </c>
      <c r="E139" s="19">
        <f ca="1">OFFSET(Y!$A$14,MATCH($C$2,Y!$C$11:$C$48345,0),137)</f>
        <v>-73</v>
      </c>
      <c r="F139" s="19">
        <f ca="1">OFFSET(Y!$A$15,MATCH($C$2,Y!$C$11:$C$48345,0),137)</f>
        <v>-5468</v>
      </c>
      <c r="G139" s="19">
        <f ca="1">OFFSET(Y!$A$16,MATCH($C$2,Y!$C$11:$C$48345,0),137)</f>
        <v>-5527</v>
      </c>
      <c r="H139" s="19">
        <f ca="1">OFFSET(Y!$A$17,MATCH($C$2,Y!$C$11:$C$48345,0),137)</f>
        <v>0</v>
      </c>
      <c r="I139" s="19">
        <f ca="1">OFFSET(Y!$A$18,MATCH($C$2,Y!$C$11:$C$48345,0),137)</f>
        <v>-4040</v>
      </c>
      <c r="J139" s="12" t="s">
        <v>169</v>
      </c>
      <c r="K139" s="20">
        <f ca="1">OFFSET(S!$A$11,MATCH($C$2,S!$C$11:$C$47348,0),137)</f>
        <v>-2328</v>
      </c>
      <c r="L139" s="20">
        <f ca="1">OFFSET(S!$A$12,MATCH($C$2,S!$C$11:$C$47348,0),137)</f>
        <v>-4098</v>
      </c>
      <c r="M139" s="20">
        <f ca="1">OFFSET(S!$A$13,MATCH($C$2,S!$C$11:$C$47348,0),137)</f>
        <v>-985</v>
      </c>
      <c r="N139" s="20">
        <f ca="1">OFFSET(S!$A$14,MATCH($C$2,S!$C$11:$C$47348,0),137)</f>
        <v>-246</v>
      </c>
      <c r="O139" s="20">
        <f ca="1">OFFSET(S!$A$15,MATCH($C$2,S!$C$11:$C$47348,0),137)</f>
        <v>-617</v>
      </c>
      <c r="P139" s="20">
        <f ca="1">OFFSET(S!$A$16,MATCH($C$2,S!$C$11:$C$47348,0),137)</f>
        <v>-1338</v>
      </c>
      <c r="Q139" s="20">
        <f ca="1">OFFSET(S!$A$17,MATCH($C$2,S!$C$11:$C$47348,0),137)</f>
        <v>-1577</v>
      </c>
      <c r="R139" s="20">
        <f ca="1">OFFSET(S!$A$18,MATCH($C$2,S!$C$11:$C$47348,0),137)</f>
        <v>-2434</v>
      </c>
      <c r="S139" s="3"/>
      <c r="T139" s="3"/>
      <c r="U139" s="3"/>
      <c r="V139" s="3"/>
      <c r="W139" s="3"/>
      <c r="X139" s="4"/>
      <c r="Y139" s="4"/>
      <c r="Z139" s="4"/>
      <c r="AA139" s="102"/>
      <c r="AB139" s="102"/>
      <c r="AC139" s="102"/>
      <c r="AD139" s="102"/>
      <c r="AE139" s="102"/>
      <c r="AF139" s="102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</row>
    <row r="140" spans="1:43">
      <c r="A140" s="53" t="s">
        <v>170</v>
      </c>
      <c r="B140" s="21">
        <f ca="1">OFFSET(Y!$A$11,MATCH($C$2,Y!$C$11:$C$48345,0),138)</f>
        <v>0</v>
      </c>
      <c r="C140" s="21">
        <f ca="1">OFFSET(Y!$A$12,MATCH($C$2,Y!$C$11:$C$48345,0),138)</f>
        <v>0</v>
      </c>
      <c r="D140" s="21">
        <f ca="1">OFFSET(Y!$A$13,MATCH($C$2,Y!$C$11:$C$48345,0),138)</f>
        <v>2696</v>
      </c>
      <c r="E140" s="21">
        <f ca="1">OFFSET(Y!$A$14,MATCH($C$2,Y!$C$11:$C$48345,0),138)</f>
        <v>0</v>
      </c>
      <c r="F140" s="21">
        <f ca="1">OFFSET(Y!$A$15,MATCH($C$2,Y!$C$11:$C$48345,0),138)</f>
        <v>0</v>
      </c>
      <c r="G140" s="21">
        <f ca="1">OFFSET(Y!$A$16,MATCH($C$2,Y!$C$11:$C$48345,0),138)</f>
        <v>0</v>
      </c>
      <c r="H140" s="21">
        <f ca="1">OFFSET(Y!$A$17,MATCH($C$2,Y!$C$11:$C$48345,0),138)</f>
        <v>1052</v>
      </c>
      <c r="I140" s="21">
        <f ca="1">OFFSET(Y!$A$18,MATCH($C$2,Y!$C$11:$C$48345,0),138)</f>
        <v>0</v>
      </c>
      <c r="J140" s="7" t="s">
        <v>170</v>
      </c>
      <c r="K140" s="21">
        <f ca="1">OFFSET(S!$A$11,MATCH($C$2,S!$C$11:$C$47348,0),138)</f>
        <v>0</v>
      </c>
      <c r="L140" s="21">
        <f ca="1">OFFSET(S!$A$12,MATCH($C$2,S!$C$11:$C$47348,0),138)</f>
        <v>0</v>
      </c>
      <c r="M140" s="21">
        <f ca="1">OFFSET(S!$A$13,MATCH($C$2,S!$C$11:$C$47348,0),138)</f>
        <v>0</v>
      </c>
      <c r="N140" s="21">
        <f ca="1">OFFSET(S!$A$14,MATCH($C$2,S!$C$11:$C$47348,0),138)</f>
        <v>0</v>
      </c>
      <c r="O140" s="21">
        <f ca="1">OFFSET(S!$A$15,MATCH($C$2,S!$C$11:$C$47348,0),138)</f>
        <v>0</v>
      </c>
      <c r="P140" s="21">
        <f ca="1">OFFSET(S!$A$16,MATCH($C$2,S!$C$11:$C$47348,0),138)</f>
        <v>0</v>
      </c>
      <c r="Q140" s="21">
        <f ca="1">OFFSET(S!$A$17,MATCH($C$2,S!$C$11:$C$47348,0),138)</f>
        <v>0</v>
      </c>
      <c r="R140" s="21">
        <f ca="1">OFFSET(S!$A$18,MATCH($C$2,S!$C$11:$C$47348,0),138)</f>
        <v>0</v>
      </c>
      <c r="S140" s="3"/>
      <c r="T140" s="3"/>
      <c r="U140" s="3"/>
      <c r="V140" s="3"/>
      <c r="W140" s="3"/>
      <c r="X140" s="4"/>
      <c r="Y140" s="4"/>
      <c r="Z140" s="4"/>
      <c r="AA140" s="102"/>
      <c r="AB140" s="102"/>
      <c r="AC140" s="102"/>
      <c r="AD140" s="102"/>
      <c r="AE140" s="102"/>
      <c r="AF140" s="102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</row>
    <row r="141" spans="1:43">
      <c r="A141" s="54" t="s">
        <v>172</v>
      </c>
      <c r="B141" s="19">
        <f ca="1">OFFSET(Y!$A$11,MATCH($C$2,Y!$C$11:$C$48345,0),139)</f>
        <v>2942</v>
      </c>
      <c r="C141" s="19">
        <f ca="1">OFFSET(Y!$A$12,MATCH($C$2,Y!$C$11:$C$48345,0),139)</f>
        <v>422</v>
      </c>
      <c r="D141" s="19">
        <f ca="1">OFFSET(Y!$A$13,MATCH($C$2,Y!$C$11:$C$48345,0),139)</f>
        <v>1403</v>
      </c>
      <c r="E141" s="19">
        <f ca="1">OFFSET(Y!$A$14,MATCH($C$2,Y!$C$11:$C$48345,0),139)</f>
        <v>1804</v>
      </c>
      <c r="F141" s="19">
        <f ca="1">OFFSET(Y!$A$15,MATCH($C$2,Y!$C$11:$C$48345,0),139)</f>
        <v>677</v>
      </c>
      <c r="G141" s="19">
        <f ca="1">OFFSET(Y!$A$16,MATCH($C$2,Y!$C$11:$C$48345,0),139)</f>
        <v>626</v>
      </c>
      <c r="H141" s="19">
        <f ca="1">OFFSET(Y!$A$17,MATCH($C$2,Y!$C$11:$C$48345,0),139)</f>
        <v>668</v>
      </c>
      <c r="I141" s="19">
        <f ca="1">OFFSET(Y!$A$18,MATCH($C$2,Y!$C$11:$C$48345,0),139)</f>
        <v>0</v>
      </c>
      <c r="J141" s="12" t="s">
        <v>172</v>
      </c>
      <c r="K141" s="20">
        <f ca="1">OFFSET(S!$A$11,MATCH($C$2,S!$C$11:$C$47348,0),139)</f>
        <v>403</v>
      </c>
      <c r="L141" s="20">
        <f ca="1">OFFSET(S!$A$12,MATCH($C$2,S!$C$11:$C$47348,0),139)</f>
        <v>1285</v>
      </c>
      <c r="M141" s="20">
        <f ca="1">OFFSET(S!$A$13,MATCH($C$2,S!$C$11:$C$47348,0),139)</f>
        <v>0</v>
      </c>
      <c r="N141" s="20">
        <f ca="1">OFFSET(S!$A$14,MATCH($C$2,S!$C$11:$C$47348,0),139)</f>
        <v>0</v>
      </c>
      <c r="O141" s="20">
        <f ca="1">OFFSET(S!$A$15,MATCH($C$2,S!$C$11:$C$47348,0),139)</f>
        <v>1027</v>
      </c>
      <c r="P141" s="20">
        <f ca="1">OFFSET(S!$A$16,MATCH($C$2,S!$C$11:$C$47348,0),139)</f>
        <v>1914</v>
      </c>
      <c r="Q141" s="20">
        <f ca="1">OFFSET(S!$A$17,MATCH($C$2,S!$C$11:$C$47348,0),139)</f>
        <v>0</v>
      </c>
      <c r="R141" s="20">
        <f ca="1">OFFSET(S!$A$18,MATCH($C$2,S!$C$11:$C$47348,0),139)</f>
        <v>0</v>
      </c>
      <c r="S141" s="3"/>
      <c r="T141" s="3"/>
      <c r="U141" s="3"/>
      <c r="V141" s="3"/>
      <c r="W141" s="3"/>
      <c r="X141" s="4"/>
      <c r="Y141" s="4"/>
      <c r="Z141" s="4"/>
      <c r="AA141" s="102"/>
      <c r="AB141" s="102"/>
      <c r="AC141" s="102"/>
      <c r="AD141" s="102"/>
      <c r="AE141" s="102"/>
      <c r="AF141" s="102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</row>
    <row r="142" spans="1:43">
      <c r="A142" s="53" t="s">
        <v>174</v>
      </c>
      <c r="B142" s="21">
        <f ca="1">OFFSET(Y!$A$11,MATCH($C$2,Y!$C$11:$C$48345,0),140)</f>
        <v>0</v>
      </c>
      <c r="C142" s="21">
        <f ca="1">OFFSET(Y!$A$12,MATCH($C$2,Y!$C$11:$C$48345,0),140)</f>
        <v>0</v>
      </c>
      <c r="D142" s="21">
        <f ca="1">OFFSET(Y!$A$13,MATCH($C$2,Y!$C$11:$C$48345,0),140)</f>
        <v>0</v>
      </c>
      <c r="E142" s="21">
        <f ca="1">OFFSET(Y!$A$14,MATCH($C$2,Y!$C$11:$C$48345,0),140)</f>
        <v>0</v>
      </c>
      <c r="F142" s="21">
        <f ca="1">OFFSET(Y!$A$15,MATCH($C$2,Y!$C$11:$C$48345,0),140)</f>
        <v>0</v>
      </c>
      <c r="G142" s="21">
        <f ca="1">OFFSET(Y!$A$16,MATCH($C$2,Y!$C$11:$C$48345,0),140)</f>
        <v>0</v>
      </c>
      <c r="H142" s="21">
        <f ca="1">OFFSET(Y!$A$17,MATCH($C$2,Y!$C$11:$C$48345,0),140)</f>
        <v>0</v>
      </c>
      <c r="I142" s="21">
        <f ca="1">OFFSET(Y!$A$18,MATCH($C$2,Y!$C$11:$C$48345,0),140)</f>
        <v>0</v>
      </c>
      <c r="J142" s="7" t="s">
        <v>174</v>
      </c>
      <c r="K142" s="21">
        <f ca="1">OFFSET(S!$A$11,MATCH($C$2,S!$C$11:$C$47348,0),140)</f>
        <v>0</v>
      </c>
      <c r="L142" s="21">
        <f ca="1">OFFSET(S!$A$12,MATCH($C$2,S!$C$11:$C$47348,0),140)</f>
        <v>0</v>
      </c>
      <c r="M142" s="21">
        <f ca="1">OFFSET(S!$A$13,MATCH($C$2,S!$C$11:$C$47348,0),140)</f>
        <v>0</v>
      </c>
      <c r="N142" s="21">
        <f ca="1">OFFSET(S!$A$14,MATCH($C$2,S!$C$11:$C$47348,0),140)</f>
        <v>0</v>
      </c>
      <c r="O142" s="21">
        <f ca="1">OFFSET(S!$A$15,MATCH($C$2,S!$C$11:$C$47348,0),140)</f>
        <v>0</v>
      </c>
      <c r="P142" s="21">
        <f ca="1">OFFSET(S!$A$16,MATCH($C$2,S!$C$11:$C$47348,0),140)</f>
        <v>0</v>
      </c>
      <c r="Q142" s="21">
        <f ca="1">OFFSET(S!$A$17,MATCH($C$2,S!$C$11:$C$47348,0),140)</f>
        <v>0</v>
      </c>
      <c r="R142" s="21">
        <f ca="1">OFFSET(S!$A$18,MATCH($C$2,S!$C$11:$C$47348,0),140)</f>
        <v>0</v>
      </c>
      <c r="S142" s="3"/>
      <c r="T142" s="3"/>
      <c r="U142" s="3"/>
      <c r="V142" s="3"/>
      <c r="W142" s="3"/>
      <c r="X142" s="4"/>
      <c r="Y142" s="4"/>
      <c r="Z142" s="4"/>
      <c r="AA142" s="102"/>
      <c r="AB142" s="102"/>
      <c r="AC142" s="102"/>
      <c r="AD142" s="102"/>
      <c r="AE142" s="102"/>
      <c r="AF142" s="102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</row>
    <row r="143" spans="1:43">
      <c r="A143" s="54" t="s">
        <v>176</v>
      </c>
      <c r="B143" s="19">
        <f ca="1">OFFSET(Y!$A$11,MATCH($C$2,Y!$C$11:$C$48345,0),141)</f>
        <v>100</v>
      </c>
      <c r="C143" s="19">
        <f ca="1">OFFSET(Y!$A$12,MATCH($C$2,Y!$C$11:$C$48345,0),141)</f>
        <v>761</v>
      </c>
      <c r="D143" s="19">
        <f ca="1">OFFSET(Y!$A$13,MATCH($C$2,Y!$C$11:$C$48345,0),141)</f>
        <v>-139</v>
      </c>
      <c r="E143" s="19">
        <f ca="1">OFFSET(Y!$A$14,MATCH($C$2,Y!$C$11:$C$48345,0),141)</f>
        <v>-299</v>
      </c>
      <c r="F143" s="19">
        <f ca="1">OFFSET(Y!$A$15,MATCH($C$2,Y!$C$11:$C$48345,0),141)</f>
        <v>-300</v>
      </c>
      <c r="G143" s="19">
        <f ca="1">OFFSET(Y!$A$16,MATCH($C$2,Y!$C$11:$C$48345,0),141)</f>
        <v>-355</v>
      </c>
      <c r="H143" s="19">
        <f ca="1">OFFSET(Y!$A$17,MATCH($C$2,Y!$C$11:$C$48345,0),141)</f>
        <v>-434</v>
      </c>
      <c r="I143" s="19">
        <f ca="1">OFFSET(Y!$A$18,MATCH($C$2,Y!$C$11:$C$48345,0),141)</f>
        <v>-56</v>
      </c>
      <c r="J143" s="12" t="s">
        <v>176</v>
      </c>
      <c r="K143" s="20">
        <f ca="1">OFFSET(S!$A$11,MATCH($C$2,S!$C$11:$C$47348,0),141)</f>
        <v>37</v>
      </c>
      <c r="L143" s="20">
        <f ca="1">OFFSET(S!$A$12,MATCH($C$2,S!$C$11:$C$47348,0),141)</f>
        <v>23</v>
      </c>
      <c r="M143" s="20">
        <f ca="1">OFFSET(S!$A$13,MATCH($C$2,S!$C$11:$C$47348,0),141)</f>
        <v>33</v>
      </c>
      <c r="N143" s="20">
        <f ca="1">OFFSET(S!$A$14,MATCH($C$2,S!$C$11:$C$47348,0),141)</f>
        <v>29</v>
      </c>
      <c r="O143" s="20">
        <f ca="1">OFFSET(S!$A$15,MATCH($C$2,S!$C$11:$C$47348,0),141)</f>
        <v>60</v>
      </c>
      <c r="P143" s="20">
        <f ca="1">OFFSET(S!$A$16,MATCH($C$2,S!$C$11:$C$47348,0),141)</f>
        <v>-58</v>
      </c>
      <c r="Q143" s="20">
        <f ca="1">OFFSET(S!$A$17,MATCH($C$2,S!$C$11:$C$47348,0),141)</f>
        <v>68</v>
      </c>
      <c r="R143" s="20">
        <f ca="1">OFFSET(S!$A$18,MATCH($C$2,S!$C$11:$C$47348,0),141)</f>
        <v>802</v>
      </c>
      <c r="S143" s="3"/>
      <c r="T143" s="3"/>
      <c r="U143" s="3"/>
      <c r="V143" s="3"/>
      <c r="W143" s="3"/>
      <c r="X143" s="4"/>
      <c r="Y143" s="4"/>
      <c r="Z143" s="4"/>
      <c r="AA143" s="102"/>
      <c r="AB143" s="102"/>
      <c r="AC143" s="102"/>
      <c r="AD143" s="102"/>
      <c r="AE143" s="102"/>
      <c r="AF143" s="102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</row>
    <row r="144" spans="1:43">
      <c r="A144" s="53" t="s">
        <v>177</v>
      </c>
      <c r="B144" s="21">
        <f ca="1">OFFSET(Y!$A$11,MATCH($C$2,Y!$C$11:$C$48345,0),142)</f>
        <v>0</v>
      </c>
      <c r="C144" s="21">
        <f ca="1">OFFSET(Y!$A$12,MATCH($C$2,Y!$C$11:$C$48345,0),142)</f>
        <v>0</v>
      </c>
      <c r="D144" s="21">
        <f ca="1">OFFSET(Y!$A$13,MATCH($C$2,Y!$C$11:$C$48345,0),142)</f>
        <v>-53</v>
      </c>
      <c r="E144" s="21">
        <f ca="1">OFFSET(Y!$A$14,MATCH($C$2,Y!$C$11:$C$48345,0),142)</f>
        <v>-205</v>
      </c>
      <c r="F144" s="21">
        <f ca="1">OFFSET(Y!$A$15,MATCH($C$2,Y!$C$11:$C$48345,0),142)</f>
        <v>-271</v>
      </c>
      <c r="G144" s="21">
        <f ca="1">OFFSET(Y!$A$16,MATCH($C$2,Y!$C$11:$C$48345,0),142)</f>
        <v>11</v>
      </c>
      <c r="H144" s="21">
        <f ca="1">OFFSET(Y!$A$17,MATCH($C$2,Y!$C$11:$C$48345,0),142)</f>
        <v>-4</v>
      </c>
      <c r="I144" s="21">
        <f ca="1">OFFSET(Y!$A$18,MATCH($C$2,Y!$C$11:$C$48345,0),142)</f>
        <v>-2</v>
      </c>
      <c r="J144" s="7" t="s">
        <v>177</v>
      </c>
      <c r="K144" s="21">
        <f ca="1">OFFSET(S!$A$11,MATCH($C$2,S!$C$11:$C$47348,0),142)</f>
        <v>-38</v>
      </c>
      <c r="L144" s="21">
        <f ca="1">OFFSET(S!$A$12,MATCH($C$2,S!$C$11:$C$47348,0),142)</f>
        <v>2678</v>
      </c>
      <c r="M144" s="21">
        <f ca="1">OFFSET(S!$A$13,MATCH($C$2,S!$C$11:$C$47348,0),142)</f>
        <v>0</v>
      </c>
      <c r="N144" s="21">
        <f ca="1">OFFSET(S!$A$14,MATCH($C$2,S!$C$11:$C$47348,0),142)</f>
        <v>35</v>
      </c>
      <c r="O144" s="21">
        <f ca="1">OFFSET(S!$A$15,MATCH($C$2,S!$C$11:$C$47348,0),142)</f>
        <v>0</v>
      </c>
      <c r="P144" s="21">
        <f ca="1">OFFSET(S!$A$16,MATCH($C$2,S!$C$11:$C$47348,0),142)</f>
        <v>-35</v>
      </c>
      <c r="Q144" s="21">
        <f ca="1">OFFSET(S!$A$17,MATCH($C$2,S!$C$11:$C$47348,0),142)</f>
        <v>0</v>
      </c>
      <c r="R144" s="21">
        <f ca="1">OFFSET(S!$A$18,MATCH($C$2,S!$C$11:$C$47348,0),142)</f>
        <v>-1</v>
      </c>
      <c r="S144" s="3"/>
      <c r="T144" s="3"/>
      <c r="U144" s="3"/>
      <c r="V144" s="3"/>
      <c r="W144" s="3"/>
      <c r="X144" s="4"/>
      <c r="Y144" s="4"/>
      <c r="Z144" s="4"/>
      <c r="AA144" s="102"/>
      <c r="AB144" s="102"/>
      <c r="AC144" s="102"/>
      <c r="AD144" s="102"/>
      <c r="AE144" s="102"/>
      <c r="AF144" s="102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</row>
    <row r="145" spans="1:43">
      <c r="A145" s="54" t="s">
        <v>178</v>
      </c>
      <c r="B145" s="19">
        <f ca="1">OFFSET(Y!$A$11,MATCH($C$2,Y!$C$11:$C$48345,0),143)</f>
        <v>97</v>
      </c>
      <c r="C145" s="19">
        <f ca="1">OFFSET(Y!$A$12,MATCH($C$2,Y!$C$11:$C$48345,0),143)</f>
        <v>17</v>
      </c>
      <c r="D145" s="19">
        <f ca="1">OFFSET(Y!$A$13,MATCH($C$2,Y!$C$11:$C$48345,0),143)</f>
        <v>97</v>
      </c>
      <c r="E145" s="19">
        <f ca="1">OFFSET(Y!$A$14,MATCH($C$2,Y!$C$11:$C$48345,0),143)</f>
        <v>52</v>
      </c>
      <c r="F145" s="19">
        <f ca="1">OFFSET(Y!$A$15,MATCH($C$2,Y!$C$11:$C$48345,0),143)</f>
        <v>128</v>
      </c>
      <c r="G145" s="19">
        <f ca="1">OFFSET(Y!$A$16,MATCH($C$2,Y!$C$11:$C$48345,0),143)</f>
        <v>69</v>
      </c>
      <c r="H145" s="19">
        <f ca="1">OFFSET(Y!$A$17,MATCH($C$2,Y!$C$11:$C$48345,0),143)</f>
        <v>360</v>
      </c>
      <c r="I145" s="19">
        <f ca="1">OFFSET(Y!$A$18,MATCH($C$2,Y!$C$11:$C$48345,0),143)</f>
        <v>501</v>
      </c>
      <c r="J145" s="12" t="s">
        <v>178</v>
      </c>
      <c r="K145" s="20">
        <f ca="1">OFFSET(S!$A$11,MATCH($C$2,S!$C$11:$C$47348,0),143)</f>
        <v>24</v>
      </c>
      <c r="L145" s="20">
        <f ca="1">OFFSET(S!$A$12,MATCH($C$2,S!$C$11:$C$47348,0),143)</f>
        <v>26</v>
      </c>
      <c r="M145" s="20">
        <f ca="1">OFFSET(S!$A$13,MATCH($C$2,S!$C$11:$C$47348,0),143)</f>
        <v>-4</v>
      </c>
      <c r="N145" s="20">
        <f ca="1">OFFSET(S!$A$14,MATCH($C$2,S!$C$11:$C$47348,0),143)</f>
        <v>30</v>
      </c>
      <c r="O145" s="20">
        <f ca="1">OFFSET(S!$A$15,MATCH($C$2,S!$C$11:$C$47348,0),143)</f>
        <v>31</v>
      </c>
      <c r="P145" s="20">
        <f ca="1">OFFSET(S!$A$16,MATCH($C$2,S!$C$11:$C$47348,0),143)</f>
        <v>30</v>
      </c>
      <c r="Q145" s="20">
        <f ca="1">OFFSET(S!$A$17,MATCH($C$2,S!$C$11:$C$47348,0),143)</f>
        <v>6</v>
      </c>
      <c r="R145" s="20">
        <f ca="1">OFFSET(S!$A$18,MATCH($C$2,S!$C$11:$C$47348,0),143)</f>
        <v>9</v>
      </c>
      <c r="S145" s="3"/>
      <c r="T145" s="3"/>
      <c r="U145" s="3"/>
      <c r="V145" s="3"/>
      <c r="W145" s="3"/>
      <c r="X145" s="4"/>
      <c r="Y145" s="4"/>
      <c r="Z145" s="4"/>
      <c r="AA145" s="102"/>
      <c r="AB145" s="102"/>
      <c r="AC145" s="102"/>
      <c r="AD145" s="102"/>
      <c r="AE145" s="102"/>
      <c r="AF145" s="102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</row>
    <row r="146" spans="1:43">
      <c r="A146" s="53" t="s">
        <v>16</v>
      </c>
      <c r="B146" s="21">
        <f ca="1">OFFSET(Y!$A$11,MATCH($C$2,Y!$C$11:$C$48345,0),144)</f>
        <v>857</v>
      </c>
      <c r="C146" s="21">
        <f ca="1">OFFSET(Y!$A$12,MATCH($C$2,Y!$C$11:$C$48345,0),144)</f>
        <v>-6744</v>
      </c>
      <c r="D146" s="21">
        <f ca="1">OFFSET(Y!$A$13,MATCH($C$2,Y!$C$11:$C$48345,0),144)</f>
        <v>-16548</v>
      </c>
      <c r="E146" s="21">
        <f ca="1">OFFSET(Y!$A$14,MATCH($C$2,Y!$C$11:$C$48345,0),144)</f>
        <v>23203</v>
      </c>
      <c r="F146" s="21">
        <f ca="1">OFFSET(Y!$A$15,MATCH($C$2,Y!$C$11:$C$48345,0),144)</f>
        <v>-10362</v>
      </c>
      <c r="G146" s="21">
        <f ca="1">OFFSET(Y!$A$16,MATCH($C$2,Y!$C$11:$C$48345,0),144)</f>
        <v>6690</v>
      </c>
      <c r="H146" s="21">
        <f ca="1">OFFSET(Y!$A$17,MATCH($C$2,Y!$C$11:$C$48345,0),144)</f>
        <v>-9192</v>
      </c>
      <c r="I146" s="21">
        <f ca="1">OFFSET(Y!$A$18,MATCH($C$2,Y!$C$11:$C$48345,0),144)</f>
        <v>-1428</v>
      </c>
      <c r="J146" s="7" t="s">
        <v>16</v>
      </c>
      <c r="K146" s="21">
        <f ca="1">OFFSET(S!$A$11,MATCH($C$2,S!$C$11:$C$47348,0),144)</f>
        <v>-4228</v>
      </c>
      <c r="L146" s="21">
        <f ca="1">OFFSET(S!$A$12,MATCH($C$2,S!$C$11:$C$47348,0),144)</f>
        <v>-7033</v>
      </c>
      <c r="M146" s="21">
        <f ca="1">OFFSET(S!$A$13,MATCH($C$2,S!$C$11:$C$47348,0),144)</f>
        <v>-6976</v>
      </c>
      <c r="N146" s="21">
        <f ca="1">OFFSET(S!$A$14,MATCH($C$2,S!$C$11:$C$47348,0),144)</f>
        <v>4875</v>
      </c>
      <c r="O146" s="21">
        <f ca="1">OFFSET(S!$A$15,MATCH($C$2,S!$C$11:$C$47348,0),144)</f>
        <v>896</v>
      </c>
      <c r="P146" s="21">
        <f ca="1">OFFSET(S!$A$16,MATCH($C$2,S!$C$11:$C$47348,0),144)</f>
        <v>-391</v>
      </c>
      <c r="Q146" s="21">
        <f ca="1">OFFSET(S!$A$17,MATCH($C$2,S!$C$11:$C$47348,0),144)</f>
        <v>-4524</v>
      </c>
      <c r="R146" s="21">
        <f ca="1">OFFSET(S!$A$18,MATCH($C$2,S!$C$11:$C$47348,0),144)</f>
        <v>5197</v>
      </c>
      <c r="S146" s="3"/>
      <c r="T146" s="3"/>
      <c r="U146" s="3"/>
      <c r="V146" s="3"/>
      <c r="W146" s="3"/>
      <c r="X146" s="4"/>
      <c r="Y146" s="4"/>
      <c r="Z146" s="4"/>
      <c r="AA146" s="102"/>
      <c r="AB146" s="102"/>
      <c r="AC146" s="102"/>
      <c r="AD146" s="102"/>
      <c r="AE146" s="102"/>
      <c r="AF146" s="102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</row>
    <row r="147" spans="1:43">
      <c r="A147" s="54" t="s">
        <v>14</v>
      </c>
      <c r="B147" s="19">
        <f ca="1">OFFSET(Y!$A$11,MATCH($C$2,Y!$C$11:$C$48345,0),145)</f>
        <v>2793</v>
      </c>
      <c r="C147" s="19">
        <f ca="1">OFFSET(Y!$A$12,MATCH($C$2,Y!$C$11:$C$48345,0),145)</f>
        <v>-6816</v>
      </c>
      <c r="D147" s="19">
        <f ca="1">OFFSET(Y!$A$13,MATCH($C$2,Y!$C$11:$C$48345,0),145)</f>
        <v>-6022</v>
      </c>
      <c r="E147" s="19">
        <f ca="1">OFFSET(Y!$A$14,MATCH($C$2,Y!$C$11:$C$48345,0),145)</f>
        <v>8179</v>
      </c>
      <c r="F147" s="19">
        <f ca="1">OFFSET(Y!$A$15,MATCH($C$2,Y!$C$11:$C$48345,0),145)</f>
        <v>-1835</v>
      </c>
      <c r="G147" s="19">
        <f ca="1">OFFSET(Y!$A$16,MATCH($C$2,Y!$C$11:$C$48345,0),145)</f>
        <v>-2894</v>
      </c>
      <c r="H147" s="19">
        <f ca="1">OFFSET(Y!$A$17,MATCH($C$2,Y!$C$11:$C$48345,0),145)</f>
        <v>-2086</v>
      </c>
      <c r="I147" s="19">
        <f ca="1">OFFSET(Y!$A$18,MATCH($C$2,Y!$C$11:$C$48345,0),145)</f>
        <v>-3265</v>
      </c>
      <c r="J147" s="12" t="s">
        <v>14</v>
      </c>
      <c r="K147" s="20">
        <f ca="1">OFFSET(S!$A$11,MATCH($C$2,S!$C$11:$C$47348,0),145)</f>
        <v>-2376</v>
      </c>
      <c r="L147" s="20">
        <f ca="1">OFFSET(S!$A$12,MATCH($C$2,S!$C$11:$C$47348,0),145)</f>
        <v>-2852</v>
      </c>
      <c r="M147" s="20">
        <f ca="1">OFFSET(S!$A$13,MATCH($C$2,S!$C$11:$C$47348,0),145)</f>
        <v>-2723</v>
      </c>
      <c r="N147" s="20">
        <f ca="1">OFFSET(S!$A$14,MATCH($C$2,S!$C$11:$C$47348,0),145)</f>
        <v>409</v>
      </c>
      <c r="O147" s="20">
        <f ca="1">OFFSET(S!$A$15,MATCH($C$2,S!$C$11:$C$47348,0),145)</f>
        <v>5142</v>
      </c>
      <c r="P147" s="20">
        <f ca="1">OFFSET(S!$A$16,MATCH($C$2,S!$C$11:$C$47348,0),145)</f>
        <v>489</v>
      </c>
      <c r="Q147" s="20">
        <f ca="1">OFFSET(S!$A$17,MATCH($C$2,S!$C$11:$C$47348,0),145)</f>
        <v>-3247</v>
      </c>
      <c r="R147" s="20">
        <f ca="1">OFFSET(S!$A$18,MATCH($C$2,S!$C$11:$C$47348,0),145)</f>
        <v>-1873</v>
      </c>
      <c r="S147" s="3"/>
      <c r="T147" s="3"/>
      <c r="U147" s="3"/>
      <c r="V147" s="3"/>
      <c r="W147" s="3"/>
      <c r="X147" s="4"/>
      <c r="Y147" s="4"/>
      <c r="Z147" s="4"/>
      <c r="AA147" s="102"/>
      <c r="AB147" s="102"/>
      <c r="AC147" s="102"/>
      <c r="AD147" s="102"/>
      <c r="AE147" s="102"/>
      <c r="AF147" s="102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</row>
    <row r="148" spans="1:43">
      <c r="A148" s="53" t="s">
        <v>18</v>
      </c>
      <c r="B148" s="21">
        <f ca="1">OFFSET(Y!$A$11,MATCH($C$2,Y!$C$11:$C$48345,0),146)</f>
        <v>-618</v>
      </c>
      <c r="C148" s="21">
        <f ca="1">OFFSET(Y!$A$12,MATCH($C$2,Y!$C$11:$C$48345,0),146)</f>
        <v>1416</v>
      </c>
      <c r="D148" s="21">
        <f ca="1">OFFSET(Y!$A$13,MATCH($C$2,Y!$C$11:$C$48345,0),146)</f>
        <v>6202</v>
      </c>
      <c r="E148" s="21">
        <f ca="1">OFFSET(Y!$A$14,MATCH($C$2,Y!$C$11:$C$48345,0),146)</f>
        <v>-6969</v>
      </c>
      <c r="F148" s="21">
        <f ca="1">OFFSET(Y!$A$15,MATCH($C$2,Y!$C$11:$C$48345,0),146)</f>
        <v>3015</v>
      </c>
      <c r="G148" s="21">
        <f ca="1">OFFSET(Y!$A$16,MATCH($C$2,Y!$C$11:$C$48345,0),146)</f>
        <v>-1824</v>
      </c>
      <c r="H148" s="21">
        <f ca="1">OFFSET(Y!$A$17,MATCH($C$2,Y!$C$11:$C$48345,0),146)</f>
        <v>1607</v>
      </c>
      <c r="I148" s="21">
        <f ca="1">OFFSET(Y!$A$18,MATCH($C$2,Y!$C$11:$C$48345,0),146)</f>
        <v>-897</v>
      </c>
      <c r="J148" s="7" t="s">
        <v>18</v>
      </c>
      <c r="K148" s="21">
        <f ca="1">OFFSET(S!$A$11,MATCH($C$2,S!$C$11:$C$47348,0),146)</f>
        <v>-347</v>
      </c>
      <c r="L148" s="21">
        <f ca="1">OFFSET(S!$A$12,MATCH($C$2,S!$C$11:$C$47348,0),146)</f>
        <v>1434</v>
      </c>
      <c r="M148" s="21">
        <f ca="1">OFFSET(S!$A$13,MATCH($C$2,S!$C$11:$C$47348,0),146)</f>
        <v>2512</v>
      </c>
      <c r="N148" s="21">
        <f ca="1">OFFSET(S!$A$14,MATCH($C$2,S!$C$11:$C$47348,0),146)</f>
        <v>1251</v>
      </c>
      <c r="O148" s="21">
        <f ca="1">OFFSET(S!$A$15,MATCH($C$2,S!$C$11:$C$47348,0),146)</f>
        <v>-2260</v>
      </c>
      <c r="P148" s="21">
        <f ca="1">OFFSET(S!$A$16,MATCH($C$2,S!$C$11:$C$47348,0),146)</f>
        <v>124</v>
      </c>
      <c r="Q148" s="21">
        <f ca="1">OFFSET(S!$A$17,MATCH($C$2,S!$C$11:$C$47348,0),146)</f>
        <v>266</v>
      </c>
      <c r="R148" s="21">
        <f ca="1">OFFSET(S!$A$18,MATCH($C$2,S!$C$11:$C$47348,0),146)</f>
        <v>37</v>
      </c>
      <c r="S148" s="3"/>
      <c r="T148" s="3"/>
      <c r="U148" s="3"/>
      <c r="V148" s="3"/>
      <c r="W148" s="3"/>
      <c r="X148" s="4"/>
      <c r="Y148" s="4"/>
      <c r="Z148" s="4"/>
      <c r="AA148" s="102"/>
      <c r="AB148" s="102"/>
      <c r="AC148" s="102"/>
      <c r="AD148" s="102"/>
      <c r="AE148" s="102"/>
      <c r="AF148" s="102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</row>
    <row r="149" spans="1:43">
      <c r="A149" s="54" t="s">
        <v>180</v>
      </c>
      <c r="B149" s="19">
        <f ca="1">OFFSET(Y!$A$11,MATCH($C$2,Y!$C$11:$C$48345,0),147)</f>
        <v>-783</v>
      </c>
      <c r="C149" s="19">
        <f ca="1">OFFSET(Y!$A$12,MATCH($C$2,Y!$C$11:$C$48345,0),147)</f>
        <v>-4893</v>
      </c>
      <c r="D149" s="19">
        <f ca="1">OFFSET(Y!$A$13,MATCH($C$2,Y!$C$11:$C$48345,0),147)</f>
        <v>4721</v>
      </c>
      <c r="E149" s="19">
        <f ca="1">OFFSET(Y!$A$14,MATCH($C$2,Y!$C$11:$C$48345,0),147)</f>
        <v>11753</v>
      </c>
      <c r="F149" s="19">
        <f ca="1">OFFSET(Y!$A$15,MATCH($C$2,Y!$C$11:$C$48345,0),147)</f>
        <v>6536</v>
      </c>
      <c r="G149" s="19">
        <f ca="1">OFFSET(Y!$A$16,MATCH($C$2,Y!$C$11:$C$48345,0),147)</f>
        <v>5575</v>
      </c>
      <c r="H149" s="19">
        <f ca="1">OFFSET(Y!$A$17,MATCH($C$2,Y!$C$11:$C$48345,0),147)</f>
        <v>-3059</v>
      </c>
      <c r="I149" s="19">
        <f ca="1">OFFSET(Y!$A$18,MATCH($C$2,Y!$C$11:$C$48345,0),147)</f>
        <v>-2549</v>
      </c>
      <c r="J149" s="12" t="s">
        <v>180</v>
      </c>
      <c r="K149" s="20">
        <f ca="1">OFFSET(S!$A$11,MATCH($C$2,S!$C$11:$C$47348,0),147)</f>
        <v>-957</v>
      </c>
      <c r="L149" s="20">
        <f ca="1">OFFSET(S!$A$12,MATCH($C$2,S!$C$11:$C$47348,0),147)</f>
        <v>3270</v>
      </c>
      <c r="M149" s="20">
        <f ca="1">OFFSET(S!$A$13,MATCH($C$2,S!$C$11:$C$47348,0),147)</f>
        <v>3470</v>
      </c>
      <c r="N149" s="20">
        <f ca="1">OFFSET(S!$A$14,MATCH($C$2,S!$C$11:$C$47348,0),147)</f>
        <v>5077</v>
      </c>
      <c r="O149" s="20">
        <f ca="1">OFFSET(S!$A$15,MATCH($C$2,S!$C$11:$C$47348,0),147)</f>
        <v>-6466</v>
      </c>
      <c r="P149" s="20">
        <f ca="1">OFFSET(S!$A$16,MATCH($C$2,S!$C$11:$C$47348,0),147)</f>
        <v>-2157</v>
      </c>
      <c r="Q149" s="20">
        <f ca="1">OFFSET(S!$A$17,MATCH($C$2,S!$C$11:$C$47348,0),147)</f>
        <v>2763</v>
      </c>
      <c r="R149" s="20">
        <f ca="1">OFFSET(S!$A$18,MATCH($C$2,S!$C$11:$C$47348,0),147)</f>
        <v>4075</v>
      </c>
      <c r="S149" s="3"/>
      <c r="T149" s="3"/>
      <c r="U149" s="3"/>
      <c r="V149" s="3"/>
      <c r="W149" s="3"/>
      <c r="X149" s="4"/>
      <c r="Y149" s="4"/>
      <c r="Z149" s="4"/>
      <c r="AA149" s="102"/>
      <c r="AB149" s="102"/>
      <c r="AC149" s="102"/>
      <c r="AD149" s="102"/>
      <c r="AE149" s="102"/>
      <c r="AF149" s="102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</row>
    <row r="150" spans="1:43">
      <c r="A150" s="53" t="s">
        <v>182</v>
      </c>
      <c r="B150" s="21">
        <f ca="1">OFFSET(Y!$A$11,MATCH($C$2,Y!$C$11:$C$48345,0),148)</f>
        <v>238735</v>
      </c>
      <c r="C150" s="21">
        <f ca="1">OFFSET(Y!$A$12,MATCH($C$2,Y!$C$11:$C$48345,0),148)</f>
        <v>222023</v>
      </c>
      <c r="D150" s="21">
        <f ca="1">OFFSET(Y!$A$13,MATCH($C$2,Y!$C$11:$C$48345,0),148)</f>
        <v>155902</v>
      </c>
      <c r="E150" s="21">
        <f ca="1">OFFSET(Y!$A$14,MATCH($C$2,Y!$C$11:$C$48345,0),148)</f>
        <v>211950</v>
      </c>
      <c r="F150" s="21">
        <f ca="1">OFFSET(Y!$A$15,MATCH($C$2,Y!$C$11:$C$48345,0),148)</f>
        <v>174117</v>
      </c>
      <c r="G150" s="21">
        <f ca="1">OFFSET(Y!$A$16,MATCH($C$2,Y!$C$11:$C$48345,0),148)</f>
        <v>196080</v>
      </c>
      <c r="H150" s="21">
        <f ca="1">OFFSET(Y!$A$17,MATCH($C$2,Y!$C$11:$C$48345,0),148)</f>
        <v>150480</v>
      </c>
      <c r="I150" s="21">
        <f ca="1">OFFSET(Y!$A$18,MATCH($C$2,Y!$C$11:$C$48345,0),148)</f>
        <v>143680</v>
      </c>
      <c r="J150" s="7" t="s">
        <v>182</v>
      </c>
      <c r="K150" s="21">
        <f ca="1">OFFSET(S!$A$11,MATCH($C$2,S!$C$11:$C$47348,0),148)</f>
        <v>72363</v>
      </c>
      <c r="L150" s="21">
        <f ca="1">OFFSET(S!$A$12,MATCH($C$2,S!$C$11:$C$47348,0),148)</f>
        <v>67309</v>
      </c>
      <c r="M150" s="21">
        <f ca="1">OFFSET(S!$A$13,MATCH($C$2,S!$C$11:$C$47348,0),148)</f>
        <v>55205</v>
      </c>
      <c r="N150" s="21">
        <f ca="1">OFFSET(S!$A$14,MATCH($C$2,S!$C$11:$C$47348,0),148)</f>
        <v>69326</v>
      </c>
      <c r="O150" s="21">
        <f ca="1">OFFSET(S!$A$15,MATCH($C$2,S!$C$11:$C$47348,0),148)</f>
        <v>54893</v>
      </c>
      <c r="P150" s="21">
        <f ca="1">OFFSET(S!$A$16,MATCH($C$2,S!$C$11:$C$47348,0),148)</f>
        <v>60611</v>
      </c>
      <c r="Q150" s="21">
        <f ca="1">OFFSET(S!$A$17,MATCH($C$2,S!$C$11:$C$47348,0),148)</f>
        <v>53905</v>
      </c>
      <c r="R150" s="21">
        <f ca="1">OFFSET(S!$A$18,MATCH($C$2,S!$C$11:$C$47348,0),148)</f>
        <v>68885</v>
      </c>
      <c r="S150" s="3"/>
      <c r="T150" s="3"/>
      <c r="U150" s="3"/>
      <c r="V150" s="3"/>
      <c r="W150" s="3"/>
      <c r="X150" s="4"/>
      <c r="Y150" s="4"/>
      <c r="Z150" s="4"/>
      <c r="AA150" s="102"/>
      <c r="AB150" s="102"/>
      <c r="AC150" s="102"/>
      <c r="AD150" s="102"/>
      <c r="AE150" s="102"/>
      <c r="AF150" s="102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</row>
    <row r="151" spans="1:43">
      <c r="A151" s="54" t="s">
        <v>184</v>
      </c>
      <c r="B151" s="19">
        <f ca="1">OFFSET(Y!$A$11,MATCH($C$2,Y!$C$11:$C$48345,0),149)</f>
        <v>1035</v>
      </c>
      <c r="C151" s="19">
        <f ca="1">OFFSET(Y!$A$12,MATCH($C$2,Y!$C$11:$C$48345,0),149)</f>
        <v>0</v>
      </c>
      <c r="D151" s="19">
        <f ca="1">OFFSET(Y!$A$13,MATCH($C$2,Y!$C$11:$C$48345,0),149)</f>
        <v>1037</v>
      </c>
      <c r="E151" s="19">
        <f ca="1">OFFSET(Y!$A$14,MATCH($C$2,Y!$C$11:$C$48345,0),149)</f>
        <v>21888</v>
      </c>
      <c r="F151" s="19">
        <f ca="1">OFFSET(Y!$A$15,MATCH($C$2,Y!$C$11:$C$48345,0),149)</f>
        <v>9297</v>
      </c>
      <c r="G151" s="19">
        <f ca="1">OFFSET(Y!$A$16,MATCH($C$2,Y!$C$11:$C$48345,0),149)</f>
        <v>-25468</v>
      </c>
      <c r="H151" s="19">
        <f ca="1">OFFSET(Y!$A$17,MATCH($C$2,Y!$C$11:$C$48345,0),149)</f>
        <v>5924</v>
      </c>
      <c r="I151" s="19">
        <f ca="1">OFFSET(Y!$A$18,MATCH($C$2,Y!$C$11:$C$48345,0),149)</f>
        <v>-43822</v>
      </c>
      <c r="J151" s="12" t="s">
        <v>184</v>
      </c>
      <c r="K151" s="20">
        <f ca="1">OFFSET(S!$A$11,MATCH($C$2,S!$C$11:$C$47348,0),149)</f>
        <v>314</v>
      </c>
      <c r="L151" s="20">
        <f ca="1">OFFSET(S!$A$12,MATCH($C$2,S!$C$11:$C$47348,0),149)</f>
        <v>0</v>
      </c>
      <c r="M151" s="20">
        <f ca="1">OFFSET(S!$A$13,MATCH($C$2,S!$C$11:$C$47348,0),149)</f>
        <v>0</v>
      </c>
      <c r="N151" s="20">
        <f ca="1">OFFSET(S!$A$14,MATCH($C$2,S!$C$11:$C$47348,0),149)</f>
        <v>0</v>
      </c>
      <c r="O151" s="20">
        <f ca="1">OFFSET(S!$A$15,MATCH($C$2,S!$C$11:$C$47348,0),149)</f>
        <v>0</v>
      </c>
      <c r="P151" s="20">
        <f ca="1">OFFSET(S!$A$16,MATCH($C$2,S!$C$11:$C$47348,0),149)</f>
        <v>1035</v>
      </c>
      <c r="Q151" s="20">
        <f ca="1">OFFSET(S!$A$17,MATCH($C$2,S!$C$11:$C$47348,0),149)</f>
        <v>0</v>
      </c>
      <c r="R151" s="20">
        <f ca="1">OFFSET(S!$A$18,MATCH($C$2,S!$C$11:$C$47348,0),149)</f>
        <v>0</v>
      </c>
      <c r="S151" s="3"/>
      <c r="T151" s="3"/>
      <c r="U151" s="3"/>
      <c r="V151" s="3"/>
      <c r="W151" s="3"/>
      <c r="X151" s="4"/>
      <c r="Y151" s="4"/>
      <c r="Z151" s="4"/>
      <c r="AA151" s="102"/>
      <c r="AB151" s="102"/>
      <c r="AC151" s="102"/>
      <c r="AD151" s="102"/>
      <c r="AE151" s="102"/>
      <c r="AF151" s="102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</row>
    <row r="152" spans="1:43">
      <c r="A152" s="53" t="s">
        <v>186</v>
      </c>
      <c r="B152" s="21">
        <f ca="1">OFFSET(Y!$A$11,MATCH($C$2,Y!$C$11:$C$48345,0),150)</f>
        <v>5109</v>
      </c>
      <c r="C152" s="21">
        <f ca="1">OFFSET(Y!$A$12,MATCH($C$2,Y!$C$11:$C$48345,0),150)</f>
        <v>15946</v>
      </c>
      <c r="D152" s="21">
        <f ca="1">OFFSET(Y!$A$13,MATCH($C$2,Y!$C$11:$C$48345,0),150)</f>
        <v>6338</v>
      </c>
      <c r="E152" s="21">
        <f ca="1">OFFSET(Y!$A$14,MATCH($C$2,Y!$C$11:$C$48345,0),150)</f>
        <v>5097</v>
      </c>
      <c r="F152" s="21">
        <f ca="1">OFFSET(Y!$A$15,MATCH($C$2,Y!$C$11:$C$48345,0),150)</f>
        <v>17759</v>
      </c>
      <c r="G152" s="21">
        <f ca="1">OFFSET(Y!$A$16,MATCH($C$2,Y!$C$11:$C$48345,0),150)</f>
        <v>259</v>
      </c>
      <c r="H152" s="21">
        <f ca="1">OFFSET(Y!$A$17,MATCH($C$2,Y!$C$11:$C$48345,0),150)</f>
        <v>10474</v>
      </c>
      <c r="I152" s="21">
        <f ca="1">OFFSET(Y!$A$18,MATCH($C$2,Y!$C$11:$C$48345,0),150)</f>
        <v>8</v>
      </c>
      <c r="J152" s="7" t="s">
        <v>186</v>
      </c>
      <c r="K152" s="21">
        <f ca="1">OFFSET(S!$A$11,MATCH($C$2,S!$C$11:$C$47348,0),150)</f>
        <v>277</v>
      </c>
      <c r="L152" s="21">
        <f ca="1">OFFSET(S!$A$12,MATCH($C$2,S!$C$11:$C$47348,0),150)</f>
        <v>165</v>
      </c>
      <c r="M152" s="21">
        <f ca="1">OFFSET(S!$A$13,MATCH($C$2,S!$C$11:$C$47348,0),150)</f>
        <v>22</v>
      </c>
      <c r="N152" s="21">
        <f ca="1">OFFSET(S!$A$14,MATCH($C$2,S!$C$11:$C$47348,0),150)</f>
        <v>570</v>
      </c>
      <c r="O152" s="21">
        <f ca="1">OFFSET(S!$A$15,MATCH($C$2,S!$C$11:$C$47348,0),150)</f>
        <v>1864</v>
      </c>
      <c r="P152" s="21">
        <f ca="1">OFFSET(S!$A$16,MATCH($C$2,S!$C$11:$C$47348,0),150)</f>
        <v>2675</v>
      </c>
      <c r="Q152" s="21">
        <f ca="1">OFFSET(S!$A$17,MATCH($C$2,S!$C$11:$C$47348,0),150)</f>
        <v>0</v>
      </c>
      <c r="R152" s="21">
        <f ca="1">OFFSET(S!$A$18,MATCH($C$2,S!$C$11:$C$47348,0),150)</f>
        <v>1050</v>
      </c>
      <c r="S152" s="3"/>
      <c r="T152" s="3"/>
      <c r="U152" s="3"/>
      <c r="V152" s="3"/>
      <c r="W152" s="3"/>
      <c r="X152" s="4"/>
      <c r="Y152" s="4"/>
      <c r="Z152" s="4"/>
      <c r="AA152" s="102"/>
      <c r="AB152" s="102"/>
      <c r="AC152" s="102"/>
      <c r="AD152" s="102"/>
      <c r="AE152" s="102"/>
      <c r="AF152" s="102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</row>
    <row r="153" spans="1:43">
      <c r="A153" s="54" t="s">
        <v>12</v>
      </c>
      <c r="B153" s="19">
        <f ca="1">OFFSET(Y!$A$11,MATCH($C$2,Y!$C$11:$C$48345,0),151)</f>
        <v>-7391</v>
      </c>
      <c r="C153" s="19">
        <f ca="1">OFFSET(Y!$A$12,MATCH($C$2,Y!$C$11:$C$48345,0),151)</f>
        <v>-8263</v>
      </c>
      <c r="D153" s="19">
        <f ca="1">OFFSET(Y!$A$13,MATCH($C$2,Y!$C$11:$C$48345,0),151)</f>
        <v>-320</v>
      </c>
      <c r="E153" s="19">
        <f ca="1">OFFSET(Y!$A$14,MATCH($C$2,Y!$C$11:$C$48345,0),151)</f>
        <v>-505</v>
      </c>
      <c r="F153" s="19">
        <f ca="1">OFFSET(Y!$A$15,MATCH($C$2,Y!$C$11:$C$48345,0),151)</f>
        <v>-7395</v>
      </c>
      <c r="G153" s="19">
        <f ca="1">OFFSET(Y!$A$16,MATCH($C$2,Y!$C$11:$C$48345,0),151)</f>
        <v>-13659</v>
      </c>
      <c r="H153" s="19">
        <f ca="1">OFFSET(Y!$A$17,MATCH($C$2,Y!$C$11:$C$48345,0),151)</f>
        <v>-17038</v>
      </c>
      <c r="I153" s="19">
        <f ca="1">OFFSET(Y!$A$18,MATCH($C$2,Y!$C$11:$C$48345,0),151)</f>
        <v>-30291</v>
      </c>
      <c r="J153" s="12" t="s">
        <v>12</v>
      </c>
      <c r="K153" s="20">
        <f ca="1">OFFSET(S!$A$11,MATCH($C$2,S!$C$11:$C$47348,0),151)</f>
        <v>-71</v>
      </c>
      <c r="L153" s="20">
        <f ca="1">OFFSET(S!$A$12,MATCH($C$2,S!$C$11:$C$47348,0),151)</f>
        <v>-19</v>
      </c>
      <c r="M153" s="20">
        <f ca="1">OFFSET(S!$A$13,MATCH($C$2,S!$C$11:$C$47348,0),151)</f>
        <v>-2151</v>
      </c>
      <c r="N153" s="20">
        <f ca="1">OFFSET(S!$A$14,MATCH($C$2,S!$C$11:$C$47348,0),151)</f>
        <v>-4656</v>
      </c>
      <c r="O153" s="20">
        <f ca="1">OFFSET(S!$A$15,MATCH($C$2,S!$C$11:$C$47348,0),151)</f>
        <v>-2223</v>
      </c>
      <c r="P153" s="20">
        <f ca="1">OFFSET(S!$A$16,MATCH($C$2,S!$C$11:$C$47348,0),151)</f>
        <v>-88</v>
      </c>
      <c r="Q153" s="20">
        <f ca="1">OFFSET(S!$A$17,MATCH($C$2,S!$C$11:$C$47348,0),151)</f>
        <v>-423</v>
      </c>
      <c r="R153" s="20">
        <f ca="1">OFFSET(S!$A$18,MATCH($C$2,S!$C$11:$C$47348,0),151)</f>
        <v>-137</v>
      </c>
      <c r="S153" s="3"/>
      <c r="T153" s="3"/>
      <c r="U153" s="3"/>
      <c r="V153" s="3"/>
      <c r="W153" s="3"/>
      <c r="X153" s="4"/>
      <c r="Y153" s="4"/>
      <c r="Z153" s="4"/>
      <c r="AA153" s="102"/>
      <c r="AB153" s="102"/>
      <c r="AC153" s="102"/>
      <c r="AD153" s="102"/>
      <c r="AE153" s="102"/>
      <c r="AF153" s="102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</row>
    <row r="154" spans="1:43">
      <c r="A154" s="53" t="s">
        <v>187</v>
      </c>
      <c r="B154" s="21">
        <f ca="1">OFFSET(Y!$A$11,MATCH($C$2,Y!$C$11:$C$48345,0),152)</f>
        <v>4650</v>
      </c>
      <c r="C154" s="21">
        <f ca="1">OFFSET(Y!$A$12,MATCH($C$2,Y!$C$11:$C$48345,0),152)</f>
        <v>388</v>
      </c>
      <c r="D154" s="21">
        <f ca="1">OFFSET(Y!$A$13,MATCH($C$2,Y!$C$11:$C$48345,0),152)</f>
        <v>72</v>
      </c>
      <c r="E154" s="21">
        <f ca="1">OFFSET(Y!$A$14,MATCH($C$2,Y!$C$11:$C$48345,0),152)</f>
        <v>2043</v>
      </c>
      <c r="F154" s="21">
        <f ca="1">OFFSET(Y!$A$15,MATCH($C$2,Y!$C$11:$C$48345,0),152)</f>
        <v>55</v>
      </c>
      <c r="G154" s="21">
        <f ca="1">OFFSET(Y!$A$16,MATCH($C$2,Y!$C$11:$C$48345,0),152)</f>
        <v>1278</v>
      </c>
      <c r="H154" s="21">
        <f ca="1">OFFSET(Y!$A$17,MATCH($C$2,Y!$C$11:$C$48345,0),152)</f>
        <v>2087</v>
      </c>
      <c r="I154" s="21">
        <f ca="1">OFFSET(Y!$A$18,MATCH($C$2,Y!$C$11:$C$48345,0),152)</f>
        <v>1714</v>
      </c>
      <c r="J154" s="7" t="s">
        <v>187</v>
      </c>
      <c r="K154" s="21">
        <f ca="1">OFFSET(S!$A$11,MATCH($C$2,S!$C$11:$C$47348,0),152)</f>
        <v>1</v>
      </c>
      <c r="L154" s="21">
        <f ca="1">OFFSET(S!$A$12,MATCH($C$2,S!$C$11:$C$47348,0),152)</f>
        <v>64</v>
      </c>
      <c r="M154" s="21">
        <f ca="1">OFFSET(S!$A$13,MATCH($C$2,S!$C$11:$C$47348,0),152)</f>
        <v>19</v>
      </c>
      <c r="N154" s="21">
        <f ca="1">OFFSET(S!$A$14,MATCH($C$2,S!$C$11:$C$47348,0),152)</f>
        <v>1594</v>
      </c>
      <c r="O154" s="21">
        <f ca="1">OFFSET(S!$A$15,MATCH($C$2,S!$C$11:$C$47348,0),152)</f>
        <v>988</v>
      </c>
      <c r="P154" s="21">
        <f ca="1">OFFSET(S!$A$16,MATCH($C$2,S!$C$11:$C$47348,0),152)</f>
        <v>1515</v>
      </c>
      <c r="Q154" s="21">
        <f ca="1">OFFSET(S!$A$17,MATCH($C$2,S!$C$11:$C$47348,0),152)</f>
        <v>554</v>
      </c>
      <c r="R154" s="21">
        <f ca="1">OFFSET(S!$A$18,MATCH($C$2,S!$C$11:$C$47348,0),152)</f>
        <v>325</v>
      </c>
      <c r="S154" s="3"/>
      <c r="T154" s="3"/>
      <c r="U154" s="3"/>
      <c r="V154" s="3"/>
      <c r="W154" s="3"/>
      <c r="X154" s="4"/>
      <c r="Y154" s="4"/>
      <c r="Z154" s="4"/>
      <c r="AA154" s="102"/>
      <c r="AB154" s="102"/>
      <c r="AC154" s="102"/>
      <c r="AD154" s="102"/>
      <c r="AE154" s="102"/>
      <c r="AF154" s="102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</row>
    <row r="155" spans="1:43">
      <c r="A155" s="54" t="s">
        <v>188</v>
      </c>
      <c r="B155" s="19">
        <f ca="1">OFFSET(Y!$A$11,MATCH($C$2,Y!$C$11:$C$48345,0),153)</f>
        <v>-202758</v>
      </c>
      <c r="C155" s="19">
        <f ca="1">OFFSET(Y!$A$12,MATCH($C$2,Y!$C$11:$C$48345,0),153)</f>
        <v>-182335</v>
      </c>
      <c r="D155" s="19">
        <f ca="1">OFFSET(Y!$A$13,MATCH($C$2,Y!$C$11:$C$48345,0),153)</f>
        <v>-86971</v>
      </c>
      <c r="E155" s="19">
        <f ca="1">OFFSET(Y!$A$14,MATCH($C$2,Y!$C$11:$C$48345,0),153)</f>
        <v>-56766</v>
      </c>
      <c r="F155" s="19">
        <f ca="1">OFFSET(Y!$A$15,MATCH($C$2,Y!$C$11:$C$48345,0),153)</f>
        <v>-81303</v>
      </c>
      <c r="G155" s="19">
        <f ca="1">OFFSET(Y!$A$16,MATCH($C$2,Y!$C$11:$C$48345,0),153)</f>
        <v>-77216</v>
      </c>
      <c r="H155" s="19">
        <f ca="1">OFFSET(Y!$A$17,MATCH($C$2,Y!$C$11:$C$48345,0),153)</f>
        <v>-73659</v>
      </c>
      <c r="I155" s="19">
        <f ca="1">OFFSET(Y!$A$18,MATCH($C$2,Y!$C$11:$C$48345,0),153)</f>
        <v>-76171</v>
      </c>
      <c r="J155" s="12" t="s">
        <v>188</v>
      </c>
      <c r="K155" s="20">
        <f ca="1">OFFSET(S!$A$11,MATCH($C$2,S!$C$11:$C$47348,0),153)</f>
        <v>-77253</v>
      </c>
      <c r="L155" s="20">
        <f ca="1">OFFSET(S!$A$12,MATCH($C$2,S!$C$11:$C$47348,0),153)</f>
        <v>-58622</v>
      </c>
      <c r="M155" s="20">
        <f ca="1">OFFSET(S!$A$13,MATCH($C$2,S!$C$11:$C$47348,0),153)</f>
        <v>-47146</v>
      </c>
      <c r="N155" s="20">
        <f ca="1">OFFSET(S!$A$14,MATCH($C$2,S!$C$11:$C$47348,0),153)</f>
        <v>-27595</v>
      </c>
      <c r="O155" s="20">
        <f ca="1">OFFSET(S!$A$15,MATCH($C$2,S!$C$11:$C$47348,0),153)</f>
        <v>-36016</v>
      </c>
      <c r="P155" s="20">
        <f ca="1">OFFSET(S!$A$16,MATCH($C$2,S!$C$11:$C$47348,0),153)</f>
        <v>-61954</v>
      </c>
      <c r="Q155" s="20">
        <f ca="1">OFFSET(S!$A$17,MATCH($C$2,S!$C$11:$C$47348,0),153)</f>
        <v>-77193</v>
      </c>
      <c r="R155" s="20">
        <f ca="1">OFFSET(S!$A$18,MATCH($C$2,S!$C$11:$C$47348,0),153)</f>
        <v>-43413</v>
      </c>
      <c r="S155" s="3"/>
      <c r="T155" s="3"/>
      <c r="U155" s="3"/>
      <c r="V155" s="3"/>
      <c r="W155" s="3"/>
      <c r="X155" s="4"/>
      <c r="Y155" s="4"/>
      <c r="Z155" s="4"/>
      <c r="AA155" s="102"/>
      <c r="AB155" s="102"/>
      <c r="AC155" s="102"/>
      <c r="AD155" s="102"/>
      <c r="AE155" s="102"/>
      <c r="AF155" s="102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</row>
    <row r="156" spans="1:43">
      <c r="A156" s="53" t="s">
        <v>189</v>
      </c>
      <c r="B156" s="21">
        <f ca="1">OFFSET(Y!$A$11,MATCH($C$2,Y!$C$11:$C$48345,0),154)</f>
        <v>1246</v>
      </c>
      <c r="C156" s="21">
        <f ca="1">OFFSET(Y!$A$12,MATCH($C$2,Y!$C$11:$C$48345,0),154)</f>
        <v>-8484</v>
      </c>
      <c r="D156" s="21">
        <f ca="1">OFFSET(Y!$A$13,MATCH($C$2,Y!$C$11:$C$48345,0),154)</f>
        <v>-12129</v>
      </c>
      <c r="E156" s="21">
        <f ca="1">OFFSET(Y!$A$14,MATCH($C$2,Y!$C$11:$C$48345,0),154)</f>
        <v>-3178</v>
      </c>
      <c r="F156" s="21">
        <f ca="1">OFFSET(Y!$A$15,MATCH($C$2,Y!$C$11:$C$48345,0),154)</f>
        <v>-4353</v>
      </c>
      <c r="G156" s="21">
        <f ca="1">OFFSET(Y!$A$16,MATCH($C$2,Y!$C$11:$C$48345,0),154)</f>
        <v>-2495</v>
      </c>
      <c r="H156" s="21">
        <f ca="1">OFFSET(Y!$A$17,MATCH($C$2,Y!$C$11:$C$48345,0),154)</f>
        <v>-846</v>
      </c>
      <c r="I156" s="21">
        <f ca="1">OFFSET(Y!$A$18,MATCH($C$2,Y!$C$11:$C$48345,0),154)</f>
        <v>-2312</v>
      </c>
      <c r="J156" s="7" t="s">
        <v>189</v>
      </c>
      <c r="K156" s="21">
        <f ca="1">OFFSET(S!$A$11,MATCH($C$2,S!$C$11:$C$47348,0),154)</f>
        <v>1558</v>
      </c>
      <c r="L156" s="21">
        <f ca="1">OFFSET(S!$A$12,MATCH($C$2,S!$C$11:$C$47348,0),154)</f>
        <v>-10</v>
      </c>
      <c r="M156" s="21">
        <f ca="1">OFFSET(S!$A$13,MATCH($C$2,S!$C$11:$C$47348,0),154)</f>
        <v>-406</v>
      </c>
      <c r="N156" s="21">
        <f ca="1">OFFSET(S!$A$14,MATCH($C$2,S!$C$11:$C$47348,0),154)</f>
        <v>-345</v>
      </c>
      <c r="O156" s="21">
        <f ca="1">OFFSET(S!$A$15,MATCH($C$2,S!$C$11:$C$47348,0),154)</f>
        <v>-1440</v>
      </c>
      <c r="P156" s="21">
        <f ca="1">OFFSET(S!$A$16,MATCH($C$2,S!$C$11:$C$47348,0),154)</f>
        <v>-610</v>
      </c>
      <c r="Q156" s="21">
        <f ca="1">OFFSET(S!$A$17,MATCH($C$2,S!$C$11:$C$47348,0),154)</f>
        <v>3641</v>
      </c>
      <c r="R156" s="21">
        <f ca="1">OFFSET(S!$A$18,MATCH($C$2,S!$C$11:$C$47348,0),154)</f>
        <v>-944</v>
      </c>
      <c r="S156" s="3"/>
      <c r="T156" s="3"/>
      <c r="U156" s="3"/>
      <c r="V156" s="3"/>
      <c r="W156" s="3"/>
      <c r="X156" s="4"/>
      <c r="Y156" s="4"/>
      <c r="Z156" s="4"/>
      <c r="AA156" s="102"/>
      <c r="AB156" s="102"/>
      <c r="AC156" s="102"/>
      <c r="AD156" s="102"/>
      <c r="AE156" s="102"/>
      <c r="AF156" s="102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</row>
    <row r="157" spans="1:43">
      <c r="A157" s="54" t="s">
        <v>190</v>
      </c>
      <c r="B157" s="19">
        <f ca="1">OFFSET(Y!$A$11,MATCH($C$2,Y!$C$11:$C$48345,0),155)</f>
        <v>-198108</v>
      </c>
      <c r="C157" s="19">
        <f ca="1">OFFSET(Y!$A$12,MATCH($C$2,Y!$C$11:$C$48345,0),155)</f>
        <v>-182747</v>
      </c>
      <c r="D157" s="19">
        <f ca="1">OFFSET(Y!$A$13,MATCH($C$2,Y!$C$11:$C$48345,0),155)</f>
        <v>-91973</v>
      </c>
      <c r="E157" s="19">
        <f ca="1">OFFSET(Y!$A$14,MATCH($C$2,Y!$C$11:$C$48345,0),155)</f>
        <v>-31150</v>
      </c>
      <c r="F157" s="19">
        <f ca="1">OFFSET(Y!$A$15,MATCH($C$2,Y!$C$11:$C$48345,0),155)</f>
        <v>-65941</v>
      </c>
      <c r="G157" s="19">
        <f ca="1">OFFSET(Y!$A$16,MATCH($C$2,Y!$C$11:$C$48345,0),155)</f>
        <v>-117302</v>
      </c>
      <c r="H157" s="19">
        <f ca="1">OFFSET(Y!$A$17,MATCH($C$2,Y!$C$11:$C$48345,0),155)</f>
        <v>-73058</v>
      </c>
      <c r="I157" s="19">
        <f ca="1">OFFSET(Y!$A$18,MATCH($C$2,Y!$C$11:$C$48345,0),155)</f>
        <v>-150875</v>
      </c>
      <c r="J157" s="12" t="s">
        <v>190</v>
      </c>
      <c r="K157" s="20">
        <f ca="1">OFFSET(S!$A$11,MATCH($C$2,S!$C$11:$C$47348,0),155)</f>
        <v>-75174</v>
      </c>
      <c r="L157" s="20">
        <f ca="1">OFFSET(S!$A$12,MATCH($C$2,S!$C$11:$C$47348,0),155)</f>
        <v>-58422</v>
      </c>
      <c r="M157" s="20">
        <f ca="1">OFFSET(S!$A$13,MATCH($C$2,S!$C$11:$C$47348,0),155)</f>
        <v>-49662</v>
      </c>
      <c r="N157" s="20">
        <f ca="1">OFFSET(S!$A$14,MATCH($C$2,S!$C$11:$C$47348,0),155)</f>
        <v>-30433</v>
      </c>
      <c r="O157" s="20">
        <f ca="1">OFFSET(S!$A$15,MATCH($C$2,S!$C$11:$C$47348,0),155)</f>
        <v>-36827</v>
      </c>
      <c r="P157" s="20">
        <f ca="1">OFFSET(S!$A$16,MATCH($C$2,S!$C$11:$C$47348,0),155)</f>
        <v>-57427</v>
      </c>
      <c r="Q157" s="20">
        <f ca="1">OFFSET(S!$A$17,MATCH($C$2,S!$C$11:$C$47348,0),155)</f>
        <v>-73422</v>
      </c>
      <c r="R157" s="20">
        <f ca="1">OFFSET(S!$A$18,MATCH($C$2,S!$C$11:$C$47348,0),155)</f>
        <v>-43118</v>
      </c>
      <c r="S157" s="3"/>
      <c r="T157" s="3"/>
      <c r="U157" s="3"/>
      <c r="V157" s="3"/>
      <c r="W157" s="3"/>
      <c r="X157" s="4"/>
      <c r="Y157" s="4"/>
      <c r="Z157" s="4"/>
      <c r="AA157" s="102"/>
      <c r="AB157" s="102"/>
      <c r="AC157" s="102"/>
      <c r="AD157" s="102"/>
      <c r="AE157" s="102"/>
      <c r="AF157" s="102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</row>
    <row r="158" spans="1:43">
      <c r="A158" s="53" t="s">
        <v>191</v>
      </c>
      <c r="B158" s="21">
        <f ca="1">OFFSET(Y!$A$11,MATCH($C$2,Y!$C$11:$C$48345,0),156)</f>
        <v>0</v>
      </c>
      <c r="C158" s="21">
        <f ca="1">OFFSET(Y!$A$12,MATCH($C$2,Y!$C$11:$C$48345,0),156)</f>
        <v>0</v>
      </c>
      <c r="D158" s="21">
        <f ca="1">OFFSET(Y!$A$13,MATCH($C$2,Y!$C$11:$C$48345,0),156)</f>
        <v>0</v>
      </c>
      <c r="E158" s="21">
        <f ca="1">OFFSET(Y!$A$14,MATCH($C$2,Y!$C$11:$C$48345,0),156)</f>
        <v>0</v>
      </c>
      <c r="F158" s="21">
        <f ca="1">OFFSET(Y!$A$15,MATCH($C$2,Y!$C$11:$C$48345,0),156)</f>
        <v>0</v>
      </c>
      <c r="G158" s="21">
        <f ca="1">OFFSET(Y!$A$16,MATCH($C$2,Y!$C$11:$C$48345,0),156)</f>
        <v>0</v>
      </c>
      <c r="H158" s="21">
        <f ca="1">OFFSET(Y!$A$17,MATCH($C$2,Y!$C$11:$C$48345,0),156)</f>
        <v>0</v>
      </c>
      <c r="I158" s="21">
        <f ca="1">OFFSET(Y!$A$18,MATCH($C$2,Y!$C$11:$C$48345,0),156)</f>
        <v>0</v>
      </c>
      <c r="J158" s="7" t="s">
        <v>191</v>
      </c>
      <c r="K158" s="21">
        <f ca="1">OFFSET(S!$A$11,MATCH($C$2,S!$C$11:$C$47348,0),156)</f>
        <v>0</v>
      </c>
      <c r="L158" s="21">
        <f ca="1">OFFSET(S!$A$12,MATCH($C$2,S!$C$11:$C$47348,0),156)</f>
        <v>0</v>
      </c>
      <c r="M158" s="21">
        <f ca="1">OFFSET(S!$A$13,MATCH($C$2,S!$C$11:$C$47348,0),156)</f>
        <v>0</v>
      </c>
      <c r="N158" s="21">
        <f ca="1">OFFSET(S!$A$14,MATCH($C$2,S!$C$11:$C$47348,0),156)</f>
        <v>0</v>
      </c>
      <c r="O158" s="21">
        <f ca="1">OFFSET(S!$A$15,MATCH($C$2,S!$C$11:$C$47348,0),156)</f>
        <v>0</v>
      </c>
      <c r="P158" s="21">
        <f ca="1">OFFSET(S!$A$16,MATCH($C$2,S!$C$11:$C$47348,0),156)</f>
        <v>0</v>
      </c>
      <c r="Q158" s="21">
        <f ca="1">OFFSET(S!$A$17,MATCH($C$2,S!$C$11:$C$47348,0),156)</f>
        <v>0</v>
      </c>
      <c r="R158" s="21">
        <f ca="1">OFFSET(S!$A$18,MATCH($C$2,S!$C$11:$C$47348,0),156)</f>
        <v>0</v>
      </c>
      <c r="S158" s="3"/>
      <c r="T158" s="3"/>
      <c r="U158" s="3"/>
      <c r="V158" s="3"/>
      <c r="W158" s="3"/>
      <c r="X158" s="4"/>
      <c r="Y158" s="4"/>
      <c r="Z158" s="4"/>
      <c r="AA158" s="102"/>
      <c r="AB158" s="102"/>
      <c r="AC158" s="102"/>
      <c r="AD158" s="102"/>
      <c r="AE158" s="102"/>
      <c r="AF158" s="102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</row>
    <row r="159" spans="1:43">
      <c r="A159" s="54" t="s">
        <v>192</v>
      </c>
      <c r="B159" s="19">
        <f ca="1">OFFSET(Y!$A$11,MATCH($C$2,Y!$C$11:$C$48345,0),157)</f>
        <v>-77730</v>
      </c>
      <c r="C159" s="19">
        <f ca="1">OFFSET(Y!$A$12,MATCH($C$2,Y!$C$11:$C$48345,0),157)</f>
        <v>-77708</v>
      </c>
      <c r="D159" s="19">
        <f ca="1">OFFSET(Y!$A$13,MATCH($C$2,Y!$C$11:$C$48345,0),157)</f>
        <v>-76876</v>
      </c>
      <c r="E159" s="19">
        <f ca="1">OFFSET(Y!$A$14,MATCH($C$2,Y!$C$11:$C$48345,0),157)</f>
        <v>-76881</v>
      </c>
      <c r="F159" s="19">
        <f ca="1">OFFSET(Y!$A$15,MATCH($C$2,Y!$C$11:$C$48345,0),157)</f>
        <v>-77489</v>
      </c>
      <c r="G159" s="19">
        <f ca="1">OFFSET(Y!$A$16,MATCH($C$2,Y!$C$11:$C$48345,0),157)</f>
        <v>-61825</v>
      </c>
      <c r="H159" s="19">
        <f ca="1">OFFSET(Y!$A$17,MATCH($C$2,Y!$C$11:$C$48345,0),157)</f>
        <v>-46504</v>
      </c>
      <c r="I159" s="19">
        <f ca="1">OFFSET(Y!$A$18,MATCH($C$2,Y!$C$11:$C$48345,0),157)</f>
        <v>-12344</v>
      </c>
      <c r="J159" s="12" t="s">
        <v>192</v>
      </c>
      <c r="K159" s="20">
        <f ca="1">OFFSET(S!$A$11,MATCH($C$2,S!$C$11:$C$47348,0),157)</f>
        <v>-77749</v>
      </c>
      <c r="L159" s="20">
        <f ca="1">OFFSET(S!$A$12,MATCH($C$2,S!$C$11:$C$47348,0),157)</f>
        <v>0</v>
      </c>
      <c r="M159" s="20">
        <f ca="1">OFFSET(S!$A$13,MATCH($C$2,S!$C$11:$C$47348,0),157)</f>
        <v>0</v>
      </c>
      <c r="N159" s="20">
        <f ca="1">OFFSET(S!$A$14,MATCH($C$2,S!$C$11:$C$47348,0),157)</f>
        <v>0</v>
      </c>
      <c r="O159" s="20">
        <f ca="1">OFFSET(S!$A$15,MATCH($C$2,S!$C$11:$C$47348,0),157)</f>
        <v>-77730</v>
      </c>
      <c r="P159" s="20">
        <f ca="1">OFFSET(S!$A$16,MATCH($C$2,S!$C$11:$C$47348,0),157)</f>
        <v>0</v>
      </c>
      <c r="Q159" s="20">
        <f ca="1">OFFSET(S!$A$17,MATCH($C$2,S!$C$11:$C$47348,0),157)</f>
        <v>0</v>
      </c>
      <c r="R159" s="20">
        <f ca="1">OFFSET(S!$A$18,MATCH($C$2,S!$C$11:$C$47348,0),157)</f>
        <v>0</v>
      </c>
      <c r="S159" s="3"/>
      <c r="T159" s="3"/>
      <c r="U159" s="3"/>
      <c r="V159" s="3"/>
      <c r="W159" s="3"/>
      <c r="X159" s="4"/>
      <c r="Y159" s="4"/>
      <c r="Z159" s="4"/>
      <c r="AA159" s="102"/>
      <c r="AB159" s="102"/>
      <c r="AC159" s="102"/>
      <c r="AD159" s="102"/>
      <c r="AE159" s="102"/>
      <c r="AF159" s="102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</row>
    <row r="160" spans="1:43">
      <c r="A160" s="53" t="s">
        <v>193</v>
      </c>
      <c r="B160" s="21">
        <f ca="1">OFFSET(Y!$A$11,MATCH($C$2,Y!$C$11:$C$48345,0),158)</f>
        <v>0</v>
      </c>
      <c r="C160" s="21">
        <f ca="1">OFFSET(Y!$A$12,MATCH($C$2,Y!$C$11:$C$48345,0),158)</f>
        <v>0</v>
      </c>
      <c r="D160" s="21">
        <f ca="1">OFFSET(Y!$A$13,MATCH($C$2,Y!$C$11:$C$48345,0),158)</f>
        <v>0</v>
      </c>
      <c r="E160" s="21">
        <f ca="1">OFFSET(Y!$A$14,MATCH($C$2,Y!$C$11:$C$48345,0),158)</f>
        <v>-4117</v>
      </c>
      <c r="F160" s="21">
        <f ca="1">OFFSET(Y!$A$15,MATCH($C$2,Y!$C$11:$C$48345,0),158)</f>
        <v>-4859</v>
      </c>
      <c r="G160" s="21">
        <f ca="1">OFFSET(Y!$A$16,MATCH($C$2,Y!$C$11:$C$48345,0),158)</f>
        <v>-3690</v>
      </c>
      <c r="H160" s="21">
        <f ca="1">OFFSET(Y!$A$17,MATCH($C$2,Y!$C$11:$C$48345,0),158)</f>
        <v>-3318</v>
      </c>
      <c r="I160" s="21">
        <f ca="1">OFFSET(Y!$A$18,MATCH($C$2,Y!$C$11:$C$48345,0),158)</f>
        <v>-809</v>
      </c>
      <c r="J160" s="7" t="s">
        <v>193</v>
      </c>
      <c r="K160" s="21">
        <f ca="1">OFFSET(S!$A$11,MATCH($C$2,S!$C$11:$C$47348,0),158)</f>
        <v>0</v>
      </c>
      <c r="L160" s="21">
        <f ca="1">OFFSET(S!$A$12,MATCH($C$2,S!$C$11:$C$47348,0),158)</f>
        <v>0</v>
      </c>
      <c r="M160" s="21">
        <f ca="1">OFFSET(S!$A$13,MATCH($C$2,S!$C$11:$C$47348,0),158)</f>
        <v>0</v>
      </c>
      <c r="N160" s="21">
        <f ca="1">OFFSET(S!$A$14,MATCH($C$2,S!$C$11:$C$47348,0),158)</f>
        <v>0</v>
      </c>
      <c r="O160" s="21">
        <f ca="1">OFFSET(S!$A$15,MATCH($C$2,S!$C$11:$C$47348,0),158)</f>
        <v>0</v>
      </c>
      <c r="P160" s="21">
        <f ca="1">OFFSET(S!$A$16,MATCH($C$2,S!$C$11:$C$47348,0),158)</f>
        <v>0</v>
      </c>
      <c r="Q160" s="21">
        <f ca="1">OFFSET(S!$A$17,MATCH($C$2,S!$C$11:$C$47348,0),158)</f>
        <v>0</v>
      </c>
      <c r="R160" s="21">
        <f ca="1">OFFSET(S!$A$18,MATCH($C$2,S!$C$11:$C$47348,0),158)</f>
        <v>0</v>
      </c>
      <c r="S160" s="3"/>
      <c r="T160" s="3"/>
      <c r="U160" s="3"/>
      <c r="V160" s="3"/>
      <c r="W160" s="3"/>
      <c r="X160" s="4"/>
      <c r="Y160" s="4"/>
      <c r="Z160" s="4"/>
      <c r="AA160" s="102"/>
      <c r="AB160" s="102"/>
      <c r="AC160" s="102"/>
      <c r="AD160" s="102"/>
      <c r="AE160" s="102"/>
      <c r="AF160" s="102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</row>
    <row r="161" spans="1:43">
      <c r="A161" s="54" t="s">
        <v>194</v>
      </c>
      <c r="B161" s="19">
        <f ca="1">OFFSET(Y!$A$11,MATCH($C$2,Y!$C$11:$C$48345,0),159)</f>
        <v>-4982</v>
      </c>
      <c r="C161" s="19">
        <f ca="1">OFFSET(Y!$A$12,MATCH($C$2,Y!$C$11:$C$48345,0),159)</f>
        <v>30909</v>
      </c>
      <c r="D161" s="19">
        <f ca="1">OFFSET(Y!$A$13,MATCH($C$2,Y!$C$11:$C$48345,0),159)</f>
        <v>0</v>
      </c>
      <c r="E161" s="19">
        <f ca="1">OFFSET(Y!$A$14,MATCH($C$2,Y!$C$11:$C$48345,0),159)</f>
        <v>0</v>
      </c>
      <c r="F161" s="19">
        <f ca="1">OFFSET(Y!$A$15,MATCH($C$2,Y!$C$11:$C$48345,0),159)</f>
        <v>0</v>
      </c>
      <c r="G161" s="19">
        <f ca="1">OFFSET(Y!$A$16,MATCH($C$2,Y!$C$11:$C$48345,0),159)</f>
        <v>0</v>
      </c>
      <c r="H161" s="19">
        <f ca="1">OFFSET(Y!$A$17,MATCH($C$2,Y!$C$11:$C$48345,0),159)</f>
        <v>0</v>
      </c>
      <c r="I161" s="19">
        <f ca="1">OFFSET(Y!$A$18,MATCH($C$2,Y!$C$11:$C$48345,0),159)</f>
        <v>0</v>
      </c>
      <c r="J161" s="12" t="s">
        <v>194</v>
      </c>
      <c r="K161" s="20">
        <f ca="1">OFFSET(S!$A$11,MATCH($C$2,S!$C$11:$C$47348,0),159)</f>
        <v>-1023</v>
      </c>
      <c r="L161" s="20">
        <f ca="1">OFFSET(S!$A$12,MATCH($C$2,S!$C$11:$C$47348,0),159)</f>
        <v>-3915</v>
      </c>
      <c r="M161" s="20">
        <f ca="1">OFFSET(S!$A$13,MATCH($C$2,S!$C$11:$C$47348,0),159)</f>
        <v>8761</v>
      </c>
      <c r="N161" s="20">
        <f ca="1">OFFSET(S!$A$14,MATCH($C$2,S!$C$11:$C$47348,0),159)</f>
        <v>-20787</v>
      </c>
      <c r="O161" s="20">
        <f ca="1">OFFSET(S!$A$15,MATCH($C$2,S!$C$11:$C$47348,0),159)</f>
        <v>13573</v>
      </c>
      <c r="P161" s="20">
        <f ca="1">OFFSET(S!$A$16,MATCH($C$2,S!$C$11:$C$47348,0),159)</f>
        <v>-1035</v>
      </c>
      <c r="Q161" s="20">
        <f ca="1">OFFSET(S!$A$17,MATCH($C$2,S!$C$11:$C$47348,0),159)</f>
        <v>3268</v>
      </c>
      <c r="R161" s="20">
        <f ca="1">OFFSET(S!$A$18,MATCH($C$2,S!$C$11:$C$47348,0),159)</f>
        <v>-6687</v>
      </c>
      <c r="S161" s="3"/>
      <c r="T161" s="3"/>
      <c r="U161" s="3"/>
      <c r="V161" s="3"/>
      <c r="W161" s="3"/>
      <c r="X161" s="4"/>
      <c r="Y161" s="4"/>
      <c r="Z161" s="4"/>
      <c r="AA161" s="102"/>
      <c r="AB161" s="102"/>
      <c r="AC161" s="102"/>
      <c r="AD161" s="102"/>
      <c r="AE161" s="102"/>
      <c r="AF161" s="102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</row>
    <row r="162" spans="1:43">
      <c r="A162" s="53" t="s">
        <v>195</v>
      </c>
      <c r="B162" s="21">
        <f ca="1">OFFSET(Y!$A$11,MATCH($C$2,Y!$C$11:$C$48345,0),160)</f>
        <v>-719</v>
      </c>
      <c r="C162" s="21">
        <f ca="1">OFFSET(Y!$A$12,MATCH($C$2,Y!$C$11:$C$48345,0),160)</f>
        <v>-467</v>
      </c>
      <c r="D162" s="21">
        <f ca="1">OFFSET(Y!$A$13,MATCH($C$2,Y!$C$11:$C$48345,0),160)</f>
        <v>-772</v>
      </c>
      <c r="E162" s="21">
        <f ca="1">OFFSET(Y!$A$14,MATCH($C$2,Y!$C$11:$C$48345,0),160)</f>
        <v>-3217</v>
      </c>
      <c r="F162" s="21">
        <f ca="1">OFFSET(Y!$A$15,MATCH($C$2,Y!$C$11:$C$48345,0),160)</f>
        <v>2881</v>
      </c>
      <c r="G162" s="21">
        <f ca="1">OFFSET(Y!$A$16,MATCH($C$2,Y!$C$11:$C$48345,0),160)</f>
        <v>-1187</v>
      </c>
      <c r="H162" s="21">
        <f ca="1">OFFSET(Y!$A$17,MATCH($C$2,Y!$C$11:$C$48345,0),160)</f>
        <v>-2278</v>
      </c>
      <c r="I162" s="21">
        <f ca="1">OFFSET(Y!$A$18,MATCH($C$2,Y!$C$11:$C$48345,0),160)</f>
        <v>865</v>
      </c>
      <c r="J162" s="7" t="s">
        <v>195</v>
      </c>
      <c r="K162" s="21">
        <f ca="1">OFFSET(S!$A$11,MATCH($C$2,S!$C$11:$C$47348,0),160)</f>
        <v>0</v>
      </c>
      <c r="L162" s="21">
        <f ca="1">OFFSET(S!$A$12,MATCH($C$2,S!$C$11:$C$47348,0),160)</f>
        <v>54</v>
      </c>
      <c r="M162" s="21">
        <f ca="1">OFFSET(S!$A$13,MATCH($C$2,S!$C$11:$C$47348,0),160)</f>
        <v>0</v>
      </c>
      <c r="N162" s="21">
        <f ca="1">OFFSET(S!$A$14,MATCH($C$2,S!$C$11:$C$47348,0),160)</f>
        <v>-816</v>
      </c>
      <c r="O162" s="21">
        <f ca="1">OFFSET(S!$A$15,MATCH($C$2,S!$C$11:$C$47348,0),160)</f>
        <v>816</v>
      </c>
      <c r="P162" s="21">
        <f ca="1">OFFSET(S!$A$16,MATCH($C$2,S!$C$11:$C$47348,0),160)</f>
        <v>-913</v>
      </c>
      <c r="Q162" s="21">
        <f ca="1">OFFSET(S!$A$17,MATCH($C$2,S!$C$11:$C$47348,0),160)</f>
        <v>194</v>
      </c>
      <c r="R162" s="21">
        <f ca="1">OFFSET(S!$A$18,MATCH($C$2,S!$C$11:$C$47348,0),160)</f>
        <v>-52</v>
      </c>
      <c r="S162" s="3"/>
      <c r="T162" s="3"/>
      <c r="U162" s="3"/>
      <c r="V162" s="3"/>
      <c r="W162" s="3"/>
      <c r="X162" s="4"/>
      <c r="Y162" s="4"/>
      <c r="Z162" s="4"/>
      <c r="AA162" s="102"/>
      <c r="AB162" s="102"/>
      <c r="AC162" s="102"/>
      <c r="AD162" s="102"/>
      <c r="AE162" s="102"/>
      <c r="AF162" s="102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</row>
    <row r="163" spans="1:43">
      <c r="A163" s="54" t="s">
        <v>196</v>
      </c>
      <c r="B163" s="19">
        <f ca="1">OFFSET(Y!$A$11,MATCH($C$2,Y!$C$11:$C$48345,0),161)</f>
        <v>18000</v>
      </c>
      <c r="C163" s="19">
        <f ca="1">OFFSET(Y!$A$12,MATCH($C$2,Y!$C$11:$C$48345,0),161)</f>
        <v>0</v>
      </c>
      <c r="D163" s="19">
        <f ca="1">OFFSET(Y!$A$13,MATCH($C$2,Y!$C$11:$C$48345,0),161)</f>
        <v>0</v>
      </c>
      <c r="E163" s="19">
        <f ca="1">OFFSET(Y!$A$14,MATCH($C$2,Y!$C$11:$C$48345,0),161)</f>
        <v>0</v>
      </c>
      <c r="F163" s="19">
        <f ca="1">OFFSET(Y!$A$15,MATCH($C$2,Y!$C$11:$C$48345,0),161)</f>
        <v>0</v>
      </c>
      <c r="G163" s="19">
        <f ca="1">OFFSET(Y!$A$16,MATCH($C$2,Y!$C$11:$C$48345,0),161)</f>
        <v>0</v>
      </c>
      <c r="H163" s="19">
        <f ca="1">OFFSET(Y!$A$17,MATCH($C$2,Y!$C$11:$C$48345,0),161)</f>
        <v>0</v>
      </c>
      <c r="I163" s="19">
        <f ca="1">OFFSET(Y!$A$18,MATCH($C$2,Y!$C$11:$C$48345,0),161)</f>
        <v>0</v>
      </c>
      <c r="J163" s="12" t="s">
        <v>196</v>
      </c>
      <c r="K163" s="20">
        <f ca="1">OFFSET(S!$A$11,MATCH($C$2,S!$C$11:$C$47348,0),161)</f>
        <v>40600</v>
      </c>
      <c r="L163" s="20">
        <f ca="1">OFFSET(S!$A$12,MATCH($C$2,S!$C$11:$C$47348,0),161)</f>
        <v>0</v>
      </c>
      <c r="M163" s="20">
        <f ca="1">OFFSET(S!$A$13,MATCH($C$2,S!$C$11:$C$47348,0),161)</f>
        <v>17000</v>
      </c>
      <c r="N163" s="20">
        <f ca="1">OFFSET(S!$A$14,MATCH($C$2,S!$C$11:$C$47348,0),161)</f>
        <v>0</v>
      </c>
      <c r="O163" s="20">
        <f ca="1">OFFSET(S!$A$15,MATCH($C$2,S!$C$11:$C$47348,0),161)</f>
        <v>18000</v>
      </c>
      <c r="P163" s="20">
        <f ca="1">OFFSET(S!$A$16,MATCH($C$2,S!$C$11:$C$47348,0),161)</f>
        <v>0</v>
      </c>
      <c r="Q163" s="20">
        <f ca="1">OFFSET(S!$A$17,MATCH($C$2,S!$C$11:$C$47348,0),161)</f>
        <v>0</v>
      </c>
      <c r="R163" s="20">
        <f ca="1">OFFSET(S!$A$18,MATCH($C$2,S!$C$11:$C$47348,0),161)</f>
        <v>0</v>
      </c>
      <c r="S163" s="3"/>
      <c r="T163" s="3"/>
      <c r="U163" s="3"/>
      <c r="V163" s="3"/>
      <c r="W163" s="3"/>
      <c r="X163" s="4"/>
      <c r="Y163" s="4"/>
      <c r="Z163" s="4"/>
      <c r="AA163" s="102"/>
      <c r="AB163" s="102"/>
      <c r="AC163" s="102"/>
      <c r="AD163" s="102"/>
      <c r="AE163" s="102"/>
      <c r="AF163" s="102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</row>
    <row r="164" spans="1:43">
      <c r="A164" s="53" t="s">
        <v>197</v>
      </c>
      <c r="B164" s="21">
        <f ca="1">OFFSET(Y!$A$11,MATCH($C$2,Y!$C$11:$C$48345,0),162)</f>
        <v>0</v>
      </c>
      <c r="C164" s="21">
        <f ca="1">OFFSET(Y!$A$12,MATCH($C$2,Y!$C$11:$C$48345,0),162)</f>
        <v>0</v>
      </c>
      <c r="D164" s="21">
        <f ca="1">OFFSET(Y!$A$13,MATCH($C$2,Y!$C$11:$C$48345,0),162)</f>
        <v>-8000</v>
      </c>
      <c r="E164" s="21">
        <f ca="1">OFFSET(Y!$A$14,MATCH($C$2,Y!$C$11:$C$48345,0),162)</f>
        <v>0</v>
      </c>
      <c r="F164" s="21">
        <f ca="1">OFFSET(Y!$A$15,MATCH($C$2,Y!$C$11:$C$48345,0),162)</f>
        <v>-7000</v>
      </c>
      <c r="G164" s="21">
        <f ca="1">OFFSET(Y!$A$16,MATCH($C$2,Y!$C$11:$C$48345,0),162)</f>
        <v>0</v>
      </c>
      <c r="H164" s="21">
        <f ca="1">OFFSET(Y!$A$17,MATCH($C$2,Y!$C$11:$C$48345,0),162)</f>
        <v>-10500</v>
      </c>
      <c r="I164" s="21">
        <f ca="1">OFFSET(Y!$A$18,MATCH($C$2,Y!$C$11:$C$48345,0),162)</f>
        <v>-5000</v>
      </c>
      <c r="J164" s="7" t="s">
        <v>197</v>
      </c>
      <c r="K164" s="21">
        <f ca="1">OFFSET(S!$A$11,MATCH($C$2,S!$C$11:$C$47348,0),162)</f>
        <v>0</v>
      </c>
      <c r="L164" s="21">
        <f ca="1">OFFSET(S!$A$12,MATCH($C$2,S!$C$11:$C$47348,0),162)</f>
        <v>0</v>
      </c>
      <c r="M164" s="21">
        <f ca="1">OFFSET(S!$A$13,MATCH($C$2,S!$C$11:$C$47348,0),162)</f>
        <v>-4500</v>
      </c>
      <c r="N164" s="21">
        <f ca="1">OFFSET(S!$A$14,MATCH($C$2,S!$C$11:$C$47348,0),162)</f>
        <v>0</v>
      </c>
      <c r="O164" s="21">
        <f ca="1">OFFSET(S!$A$15,MATCH($C$2,S!$C$11:$C$47348,0),162)</f>
        <v>0</v>
      </c>
      <c r="P164" s="21">
        <f ca="1">OFFSET(S!$A$16,MATCH($C$2,S!$C$11:$C$47348,0),162)</f>
        <v>0</v>
      </c>
      <c r="Q164" s="21">
        <f ca="1">OFFSET(S!$A$17,MATCH($C$2,S!$C$11:$C$47348,0),162)</f>
        <v>0</v>
      </c>
      <c r="R164" s="21">
        <f ca="1">OFFSET(S!$A$18,MATCH($C$2,S!$C$11:$C$47348,0),162)</f>
        <v>0</v>
      </c>
      <c r="S164" s="3"/>
      <c r="T164" s="3"/>
      <c r="U164" s="3"/>
      <c r="V164" s="3"/>
      <c r="W164" s="3"/>
      <c r="X164" s="4"/>
      <c r="Y164" s="4"/>
      <c r="Z164" s="4"/>
      <c r="AA164" s="102"/>
      <c r="AB164" s="102"/>
      <c r="AC164" s="102"/>
      <c r="AD164" s="102"/>
      <c r="AE164" s="102"/>
      <c r="AF164" s="102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</row>
    <row r="165" spans="1:43">
      <c r="A165" s="54" t="s">
        <v>198</v>
      </c>
      <c r="B165" s="19">
        <f ca="1">OFFSET(Y!$A$11,MATCH($C$2,Y!$C$11:$C$48345,0),163)</f>
        <v>-72</v>
      </c>
      <c r="C165" s="19">
        <f ca="1">OFFSET(Y!$A$12,MATCH($C$2,Y!$C$11:$C$48345,0),163)</f>
        <v>0</v>
      </c>
      <c r="D165" s="19">
        <f ca="1">OFFSET(Y!$A$13,MATCH($C$2,Y!$C$11:$C$48345,0),163)</f>
        <v>0</v>
      </c>
      <c r="E165" s="19">
        <f ca="1">OFFSET(Y!$A$14,MATCH($C$2,Y!$C$11:$C$48345,0),163)</f>
        <v>-33481</v>
      </c>
      <c r="F165" s="19">
        <f ca="1">OFFSET(Y!$A$15,MATCH($C$2,Y!$C$11:$C$48345,0),163)</f>
        <v>-45413</v>
      </c>
      <c r="G165" s="19">
        <f ca="1">OFFSET(Y!$A$16,MATCH($C$2,Y!$C$11:$C$48345,0),163)</f>
        <v>0</v>
      </c>
      <c r="H165" s="19">
        <f ca="1">OFFSET(Y!$A$17,MATCH($C$2,Y!$C$11:$C$48345,0),163)</f>
        <v>0</v>
      </c>
      <c r="I165" s="19">
        <f ca="1">OFFSET(Y!$A$18,MATCH($C$2,Y!$C$11:$C$48345,0),163)</f>
        <v>-7060</v>
      </c>
      <c r="J165" s="12" t="s">
        <v>198</v>
      </c>
      <c r="K165" s="20">
        <f ca="1">OFFSET(S!$A$11,MATCH($C$2,S!$C$11:$C$47348,0),163)</f>
        <v>0</v>
      </c>
      <c r="L165" s="20">
        <f ca="1">OFFSET(S!$A$12,MATCH($C$2,S!$C$11:$C$47348,0),163)</f>
        <v>0</v>
      </c>
      <c r="M165" s="20">
        <f ca="1">OFFSET(S!$A$13,MATCH($C$2,S!$C$11:$C$47348,0),163)</f>
        <v>0</v>
      </c>
      <c r="N165" s="20">
        <f ca="1">OFFSET(S!$A$14,MATCH($C$2,S!$C$11:$C$47348,0),163)</f>
        <v>0</v>
      </c>
      <c r="O165" s="20">
        <f ca="1">OFFSET(S!$A$15,MATCH($C$2,S!$C$11:$C$47348,0),163)</f>
        <v>-72</v>
      </c>
      <c r="P165" s="20">
        <f ca="1">OFFSET(S!$A$16,MATCH($C$2,S!$C$11:$C$47348,0),163)</f>
        <v>0</v>
      </c>
      <c r="Q165" s="20">
        <f ca="1">OFFSET(S!$A$17,MATCH($C$2,S!$C$11:$C$47348,0),163)</f>
        <v>0</v>
      </c>
      <c r="R165" s="20">
        <f ca="1">OFFSET(S!$A$18,MATCH($C$2,S!$C$11:$C$47348,0),163)</f>
        <v>0</v>
      </c>
      <c r="S165" s="3"/>
      <c r="T165" s="3"/>
      <c r="U165" s="3"/>
      <c r="V165" s="3"/>
      <c r="W165" s="3"/>
      <c r="X165" s="4"/>
      <c r="Y165" s="4"/>
      <c r="Z165" s="4"/>
      <c r="AA165" s="102"/>
      <c r="AB165" s="102"/>
      <c r="AC165" s="102"/>
      <c r="AD165" s="102"/>
      <c r="AE165" s="102"/>
      <c r="AF165" s="102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</row>
    <row r="166" spans="1:43">
      <c r="A166" s="53" t="s">
        <v>199</v>
      </c>
      <c r="B166" s="21">
        <f ca="1">OFFSET(Y!$A$11,MATCH($C$2,Y!$C$11:$C$48345,0),164)</f>
        <v>627</v>
      </c>
      <c r="C166" s="21">
        <f ca="1">OFFSET(Y!$A$12,MATCH($C$2,Y!$C$11:$C$48345,0),164)</f>
        <v>458</v>
      </c>
      <c r="D166" s="21">
        <f ca="1">OFFSET(Y!$A$13,MATCH($C$2,Y!$C$11:$C$48345,0),164)</f>
        <v>555</v>
      </c>
      <c r="E166" s="21">
        <f ca="1">OFFSET(Y!$A$14,MATCH($C$2,Y!$C$11:$C$48345,0),164)</f>
        <v>2683</v>
      </c>
      <c r="F166" s="21">
        <f ca="1">OFFSET(Y!$A$15,MATCH($C$2,Y!$C$11:$C$48345,0),164)</f>
        <v>-4014</v>
      </c>
      <c r="G166" s="21">
        <f ca="1">OFFSET(Y!$A$16,MATCH($C$2,Y!$C$11:$C$48345,0),164)</f>
        <v>2680</v>
      </c>
      <c r="H166" s="21">
        <f ca="1">OFFSET(Y!$A$17,MATCH($C$2,Y!$C$11:$C$48345,0),164)</f>
        <v>5029</v>
      </c>
      <c r="I166" s="21">
        <f ca="1">OFFSET(Y!$A$18,MATCH($C$2,Y!$C$11:$C$48345,0),164)</f>
        <v>-1213</v>
      </c>
      <c r="J166" s="7" t="s">
        <v>199</v>
      </c>
      <c r="K166" s="21">
        <f ca="1">OFFSET(S!$A$11,MATCH($C$2,S!$C$11:$C$47348,0),164)</f>
        <v>12</v>
      </c>
      <c r="L166" s="21">
        <f ca="1">OFFSET(S!$A$12,MATCH($C$2,S!$C$11:$C$47348,0),164)</f>
        <v>-180</v>
      </c>
      <c r="M166" s="21">
        <f ca="1">OFFSET(S!$A$13,MATCH($C$2,S!$C$11:$C$47348,0),164)</f>
        <v>77</v>
      </c>
      <c r="N166" s="21">
        <f ca="1">OFFSET(S!$A$14,MATCH($C$2,S!$C$11:$C$47348,0),164)</f>
        <v>822</v>
      </c>
      <c r="O166" s="21">
        <f ca="1">OFFSET(S!$A$15,MATCH($C$2,S!$C$11:$C$47348,0),164)</f>
        <v>-800</v>
      </c>
      <c r="P166" s="21">
        <f ca="1">OFFSET(S!$A$16,MATCH($C$2,S!$C$11:$C$47348,0),164)</f>
        <v>724</v>
      </c>
      <c r="Q166" s="21">
        <f ca="1">OFFSET(S!$A$17,MATCH($C$2,S!$C$11:$C$47348,0),164)</f>
        <v>-119</v>
      </c>
      <c r="R166" s="21">
        <f ca="1">OFFSET(S!$A$18,MATCH($C$2,S!$C$11:$C$47348,0),164)</f>
        <v>84</v>
      </c>
      <c r="S166" s="3"/>
      <c r="T166" s="3"/>
      <c r="U166" s="3"/>
      <c r="V166" s="3"/>
      <c r="W166" s="3"/>
      <c r="X166" s="4"/>
      <c r="Y166" s="4"/>
      <c r="Z166" s="4"/>
      <c r="AA166" s="102"/>
      <c r="AB166" s="102"/>
      <c r="AC166" s="102"/>
      <c r="AD166" s="102"/>
      <c r="AE166" s="102"/>
      <c r="AF166" s="102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</row>
    <row r="167" spans="1:43">
      <c r="A167" s="54" t="s">
        <v>200</v>
      </c>
      <c r="B167" s="19">
        <f ca="1">OFFSET(Y!$A$11,MATCH($C$2,Y!$C$11:$C$48345,0),165)</f>
        <v>-64875</v>
      </c>
      <c r="C167" s="19">
        <f ca="1">OFFSET(Y!$A$12,MATCH($C$2,Y!$C$11:$C$48345,0),165)</f>
        <v>-46808</v>
      </c>
      <c r="D167" s="19">
        <f ca="1">OFFSET(Y!$A$13,MATCH($C$2,Y!$C$11:$C$48345,0),165)</f>
        <v>-85094</v>
      </c>
      <c r="E167" s="19">
        <f ca="1">OFFSET(Y!$A$14,MATCH($C$2,Y!$C$11:$C$48345,0),165)</f>
        <v>-115013</v>
      </c>
      <c r="F167" s="19">
        <f ca="1">OFFSET(Y!$A$15,MATCH($C$2,Y!$C$11:$C$48345,0),165)</f>
        <v>-135893</v>
      </c>
      <c r="G167" s="19">
        <f ca="1">OFFSET(Y!$A$16,MATCH($C$2,Y!$C$11:$C$48345,0),165)</f>
        <v>-64022</v>
      </c>
      <c r="H167" s="19">
        <f ca="1">OFFSET(Y!$A$17,MATCH($C$2,Y!$C$11:$C$48345,0),165)</f>
        <v>-57570</v>
      </c>
      <c r="I167" s="19">
        <f ca="1">OFFSET(Y!$A$18,MATCH($C$2,Y!$C$11:$C$48345,0),165)</f>
        <v>-25561</v>
      </c>
      <c r="J167" s="12" t="s">
        <v>200</v>
      </c>
      <c r="K167" s="20">
        <f ca="1">OFFSET(S!$A$11,MATCH($C$2,S!$C$11:$C$47348,0),165)</f>
        <v>-38160</v>
      </c>
      <c r="L167" s="20">
        <f ca="1">OFFSET(S!$A$12,MATCH($C$2,S!$C$11:$C$47348,0),165)</f>
        <v>-4041</v>
      </c>
      <c r="M167" s="20">
        <f ca="1">OFFSET(S!$A$13,MATCH($C$2,S!$C$11:$C$47348,0),165)</f>
        <v>21338</v>
      </c>
      <c r="N167" s="20">
        <f ca="1">OFFSET(S!$A$14,MATCH($C$2,S!$C$11:$C$47348,0),165)</f>
        <v>-20781</v>
      </c>
      <c r="O167" s="20">
        <f ca="1">OFFSET(S!$A$15,MATCH($C$2,S!$C$11:$C$47348,0),165)</f>
        <v>-46212</v>
      </c>
      <c r="P167" s="20">
        <f ca="1">OFFSET(S!$A$16,MATCH($C$2,S!$C$11:$C$47348,0),165)</f>
        <v>-1224</v>
      </c>
      <c r="Q167" s="20">
        <f ca="1">OFFSET(S!$A$17,MATCH($C$2,S!$C$11:$C$47348,0),165)</f>
        <v>3343</v>
      </c>
      <c r="R167" s="20">
        <f ca="1">OFFSET(S!$A$18,MATCH($C$2,S!$C$11:$C$47348,0),165)</f>
        <v>-6655</v>
      </c>
      <c r="S167" s="3"/>
      <c r="T167" s="3"/>
      <c r="U167" s="3"/>
      <c r="V167" s="3"/>
      <c r="W167" s="3"/>
      <c r="X167" s="4"/>
      <c r="Y167" s="4"/>
      <c r="Z167" s="4"/>
      <c r="AA167" s="102"/>
      <c r="AB167" s="102"/>
      <c r="AC167" s="102"/>
      <c r="AD167" s="102"/>
      <c r="AE167" s="102"/>
      <c r="AF167" s="102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</row>
    <row r="168" spans="1:43">
      <c r="A168" s="53" t="s">
        <v>201</v>
      </c>
      <c r="B168" s="21">
        <f ca="1">OFFSET(Y!$A$11,MATCH($C$2,Y!$C$11:$C$48345,0),166)</f>
        <v>0</v>
      </c>
      <c r="C168" s="21">
        <f ca="1">OFFSET(Y!$A$12,MATCH($C$2,Y!$C$11:$C$48345,0),166)</f>
        <v>0</v>
      </c>
      <c r="D168" s="21">
        <f ca="1">OFFSET(Y!$A$13,MATCH($C$2,Y!$C$11:$C$48345,0),166)</f>
        <v>0</v>
      </c>
      <c r="E168" s="21">
        <f ca="1">OFFSET(Y!$A$14,MATCH($C$2,Y!$C$11:$C$48345,0),166)</f>
        <v>0</v>
      </c>
      <c r="F168" s="21">
        <f ca="1">OFFSET(Y!$A$15,MATCH($C$2,Y!$C$11:$C$48345,0),166)</f>
        <v>0</v>
      </c>
      <c r="G168" s="21">
        <f ca="1">OFFSET(Y!$A$16,MATCH($C$2,Y!$C$11:$C$48345,0),166)</f>
        <v>0</v>
      </c>
      <c r="H168" s="21">
        <f ca="1">OFFSET(Y!$A$17,MATCH($C$2,Y!$C$11:$C$48345,0),166)</f>
        <v>0</v>
      </c>
      <c r="I168" s="21">
        <f ca="1">OFFSET(Y!$A$18,MATCH($C$2,Y!$C$11:$C$48345,0),166)</f>
        <v>0</v>
      </c>
      <c r="J168" s="7" t="s">
        <v>201</v>
      </c>
      <c r="K168" s="21">
        <f ca="1">OFFSET(S!$A$11,MATCH($C$2,S!$C$11:$C$47348,0),166)</f>
        <v>0</v>
      </c>
      <c r="L168" s="21">
        <f ca="1">OFFSET(S!$A$12,MATCH($C$2,S!$C$11:$C$47348,0),166)</f>
        <v>0</v>
      </c>
      <c r="M168" s="21">
        <f ca="1">OFFSET(S!$A$13,MATCH($C$2,S!$C$11:$C$47348,0),166)</f>
        <v>0</v>
      </c>
      <c r="N168" s="21">
        <f ca="1">OFFSET(S!$A$14,MATCH($C$2,S!$C$11:$C$47348,0),166)</f>
        <v>0</v>
      </c>
      <c r="O168" s="21">
        <f ca="1">OFFSET(S!$A$15,MATCH($C$2,S!$C$11:$C$47348,0),166)</f>
        <v>0</v>
      </c>
      <c r="P168" s="21">
        <f ca="1">OFFSET(S!$A$16,MATCH($C$2,S!$C$11:$C$47348,0),166)</f>
        <v>0</v>
      </c>
      <c r="Q168" s="21">
        <f ca="1">OFFSET(S!$A$17,MATCH($C$2,S!$C$11:$C$47348,0),166)</f>
        <v>0</v>
      </c>
      <c r="R168" s="21">
        <f ca="1">OFFSET(S!$A$18,MATCH($C$2,S!$C$11:$C$47348,0),166)</f>
        <v>0</v>
      </c>
      <c r="S168" s="3"/>
      <c r="T168" s="3"/>
      <c r="U168" s="3"/>
      <c r="V168" s="3"/>
      <c r="W168" s="3"/>
      <c r="X168" s="4"/>
      <c r="Y168" s="4"/>
      <c r="Z168" s="4"/>
      <c r="AA168" s="102"/>
      <c r="AB168" s="102"/>
      <c r="AC168" s="102"/>
      <c r="AD168" s="102"/>
      <c r="AE168" s="102"/>
      <c r="AF168" s="102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</row>
    <row r="169" spans="1:43">
      <c r="A169" s="54" t="s">
        <v>202</v>
      </c>
      <c r="B169" s="19">
        <f ca="1">OFFSET(Y!$A$11,MATCH($C$2,Y!$C$11:$C$48345,0),167)</f>
        <v>-24249</v>
      </c>
      <c r="C169" s="19">
        <f ca="1">OFFSET(Y!$A$12,MATCH($C$2,Y!$C$11:$C$48345,0),167)</f>
        <v>-7532</v>
      </c>
      <c r="D169" s="19">
        <f ca="1">OFFSET(Y!$A$13,MATCH($C$2,Y!$C$11:$C$48345,0),167)</f>
        <v>-21165</v>
      </c>
      <c r="E169" s="19">
        <f ca="1">OFFSET(Y!$A$14,MATCH($C$2,Y!$C$11:$C$48345,0),167)</f>
        <v>65786</v>
      </c>
      <c r="F169" s="19">
        <f ca="1">OFFSET(Y!$A$15,MATCH($C$2,Y!$C$11:$C$48345,0),167)</f>
        <v>-27718</v>
      </c>
      <c r="G169" s="19">
        <f ca="1">OFFSET(Y!$A$16,MATCH($C$2,Y!$C$11:$C$48345,0),167)</f>
        <v>14756</v>
      </c>
      <c r="H169" s="19">
        <f ca="1">OFFSET(Y!$A$17,MATCH($C$2,Y!$C$11:$C$48345,0),167)</f>
        <v>19852</v>
      </c>
      <c r="I169" s="19">
        <f ca="1">OFFSET(Y!$A$18,MATCH($C$2,Y!$C$11:$C$48345,0),167)</f>
        <v>-32756</v>
      </c>
      <c r="J169" s="12" t="s">
        <v>202</v>
      </c>
      <c r="K169" s="20">
        <f ca="1">OFFSET(S!$A$11,MATCH($C$2,S!$C$11:$C$47348,0),167)</f>
        <v>-40971</v>
      </c>
      <c r="L169" s="20">
        <f ca="1">OFFSET(S!$A$12,MATCH($C$2,S!$C$11:$C$47348,0),167)</f>
        <v>4845</v>
      </c>
      <c r="M169" s="20">
        <f ca="1">OFFSET(S!$A$13,MATCH($C$2,S!$C$11:$C$47348,0),167)</f>
        <v>26881</v>
      </c>
      <c r="N169" s="20">
        <f ca="1">OFFSET(S!$A$14,MATCH($C$2,S!$C$11:$C$47348,0),167)</f>
        <v>18112</v>
      </c>
      <c r="O169" s="20">
        <f ca="1">OFFSET(S!$A$15,MATCH($C$2,S!$C$11:$C$47348,0),167)</f>
        <v>-28147</v>
      </c>
      <c r="P169" s="20">
        <f ca="1">OFFSET(S!$A$16,MATCH($C$2,S!$C$11:$C$47348,0),167)</f>
        <v>1961</v>
      </c>
      <c r="Q169" s="20">
        <f ca="1">OFFSET(S!$A$17,MATCH($C$2,S!$C$11:$C$47348,0),167)</f>
        <v>-16174</v>
      </c>
      <c r="R169" s="20">
        <f ca="1">OFFSET(S!$A$18,MATCH($C$2,S!$C$11:$C$47348,0),167)</f>
        <v>19112</v>
      </c>
      <c r="S169" s="3"/>
      <c r="T169" s="3"/>
      <c r="U169" s="3"/>
      <c r="V169" s="3"/>
      <c r="W169" s="3"/>
      <c r="X169" s="4"/>
      <c r="Y169" s="4"/>
      <c r="Z169" s="4"/>
      <c r="AA169" s="102"/>
      <c r="AB169" s="102"/>
      <c r="AC169" s="102"/>
      <c r="AD169" s="102"/>
      <c r="AE169" s="102"/>
      <c r="AF169" s="102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</row>
    <row r="170" spans="1:43">
      <c r="A170" s="53" t="s">
        <v>203</v>
      </c>
      <c r="B170" s="21">
        <f ca="1">OFFSET(Y!$A$11,MATCH($C$2,Y!$C$11:$C$48345,0),168)</f>
        <v>109511</v>
      </c>
      <c r="C170" s="21">
        <f ca="1">OFFSET(Y!$A$12,MATCH($C$2,Y!$C$11:$C$48345,0),168)</f>
        <v>117044</v>
      </c>
      <c r="D170" s="21">
        <f ca="1">OFFSET(Y!$A$13,MATCH($C$2,Y!$C$11:$C$48345,0),168)</f>
        <v>138208</v>
      </c>
      <c r="E170" s="21">
        <f ca="1">OFFSET(Y!$A$14,MATCH($C$2,Y!$C$11:$C$48345,0),168)</f>
        <v>72422</v>
      </c>
      <c r="F170" s="21">
        <f ca="1">OFFSET(Y!$A$15,MATCH($C$2,Y!$C$11:$C$48345,0),168)</f>
        <v>100140</v>
      </c>
      <c r="G170" s="21">
        <f ca="1">OFFSET(Y!$A$16,MATCH($C$2,Y!$C$11:$C$48345,0),168)</f>
        <v>85384</v>
      </c>
      <c r="H170" s="21">
        <f ca="1">OFFSET(Y!$A$17,MATCH($C$2,Y!$C$11:$C$48345,0),168)</f>
        <v>65532</v>
      </c>
      <c r="I170" s="21">
        <f ca="1">OFFSET(Y!$A$18,MATCH($C$2,Y!$C$11:$C$48345,0),168)</f>
        <v>98288</v>
      </c>
      <c r="J170" s="7" t="s">
        <v>203</v>
      </c>
      <c r="K170" s="21">
        <f ca="1">OFFSET(S!$A$11,MATCH($C$2,S!$C$11:$C$47348,0),168)</f>
        <v>116989</v>
      </c>
      <c r="L170" s="21">
        <f ca="1">OFFSET(S!$A$12,MATCH($C$2,S!$C$11:$C$47348,0),168)</f>
        <v>112144</v>
      </c>
      <c r="M170" s="21">
        <f ca="1">OFFSET(S!$A$13,MATCH($C$2,S!$C$11:$C$47348,0),168)</f>
        <v>85263</v>
      </c>
      <c r="N170" s="21">
        <f ca="1">OFFSET(S!$A$14,MATCH($C$2,S!$C$11:$C$47348,0),168)</f>
        <v>67151</v>
      </c>
      <c r="O170" s="21">
        <f ca="1">OFFSET(S!$A$15,MATCH($C$2,S!$C$11:$C$47348,0),168)</f>
        <v>95297</v>
      </c>
      <c r="P170" s="21">
        <f ca="1">OFFSET(S!$A$16,MATCH($C$2,S!$C$11:$C$47348,0),168)</f>
        <v>93337</v>
      </c>
      <c r="Q170" s="21">
        <f ca="1">OFFSET(S!$A$17,MATCH($C$2,S!$C$11:$C$47348,0),168)</f>
        <v>109511</v>
      </c>
      <c r="R170" s="21">
        <f ca="1">OFFSET(S!$A$18,MATCH($C$2,S!$C$11:$C$47348,0),168)</f>
        <v>90400</v>
      </c>
      <c r="X170" s="66"/>
      <c r="Y170" s="66"/>
      <c r="Z170" s="66"/>
      <c r="AA170" s="102"/>
      <c r="AB170" s="102"/>
      <c r="AC170" s="102"/>
      <c r="AD170" s="102"/>
      <c r="AE170" s="102"/>
      <c r="AF170" s="102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</row>
    <row r="171" spans="1:43">
      <c r="A171" s="54" t="s">
        <v>204</v>
      </c>
      <c r="B171" s="19">
        <f ca="1">OFFSET(Y!$A$11,MATCH($C$2,Y!$C$11:$C$48345,0),169)</f>
        <v>85263</v>
      </c>
      <c r="C171" s="19">
        <f ca="1">OFFSET(Y!$A$12,MATCH($C$2,Y!$C$11:$C$48345,0),169)</f>
        <v>109511</v>
      </c>
      <c r="D171" s="19">
        <f ca="1">OFFSET(Y!$A$13,MATCH($C$2,Y!$C$11:$C$48345,0),169)</f>
        <v>117044</v>
      </c>
      <c r="E171" s="19">
        <f ca="1">OFFSET(Y!$A$14,MATCH($C$2,Y!$C$11:$C$48345,0),169)</f>
        <v>138208</v>
      </c>
      <c r="F171" s="19">
        <f ca="1">OFFSET(Y!$A$15,MATCH($C$2,Y!$C$11:$C$48345,0),169)</f>
        <v>72422</v>
      </c>
      <c r="G171" s="19">
        <f ca="1">OFFSET(Y!$A$16,MATCH($C$2,Y!$C$11:$C$48345,0),169)</f>
        <v>100140</v>
      </c>
      <c r="H171" s="19">
        <f ca="1">OFFSET(Y!$A$17,MATCH($C$2,Y!$C$11:$C$48345,0),169)</f>
        <v>85384</v>
      </c>
      <c r="I171" s="19">
        <f ca="1">OFFSET(Y!$A$18,MATCH($C$2,Y!$C$11:$C$48345,0),169)</f>
        <v>65532</v>
      </c>
      <c r="J171" s="12" t="s">
        <v>204</v>
      </c>
      <c r="K171" s="20">
        <f ca="1">OFFSET(S!$A$11,MATCH($C$2,S!$C$11:$C$47348,0),169)</f>
        <v>76018</v>
      </c>
      <c r="L171" s="20">
        <f ca="1">OFFSET(S!$A$12,MATCH($C$2,S!$C$11:$C$47348,0),169)</f>
        <v>116989</v>
      </c>
      <c r="M171" s="20">
        <f ca="1">OFFSET(S!$A$13,MATCH($C$2,S!$C$11:$C$47348,0),169)</f>
        <v>112144</v>
      </c>
      <c r="N171" s="20">
        <f ca="1">OFFSET(S!$A$14,MATCH($C$2,S!$C$11:$C$47348,0),169)</f>
        <v>85263</v>
      </c>
      <c r="O171" s="20">
        <f ca="1">OFFSET(S!$A$15,MATCH($C$2,S!$C$11:$C$47348,0),169)</f>
        <v>67151</v>
      </c>
      <c r="P171" s="20">
        <f ca="1">OFFSET(S!$A$16,MATCH($C$2,S!$C$11:$C$47348,0),169)</f>
        <v>95297</v>
      </c>
      <c r="Q171" s="20">
        <f ca="1">OFFSET(S!$A$17,MATCH($C$2,S!$C$11:$C$47348,0),169)</f>
        <v>93337</v>
      </c>
      <c r="R171" s="20">
        <f ca="1">OFFSET(S!$A$18,MATCH($C$2,S!$C$11:$C$47348,0),169)</f>
        <v>109511</v>
      </c>
      <c r="X171" s="66"/>
      <c r="Y171" s="66"/>
      <c r="Z171" s="66"/>
      <c r="AA171" s="102"/>
      <c r="AB171" s="102"/>
      <c r="AC171" s="102"/>
      <c r="AD171" s="102"/>
      <c r="AE171" s="102"/>
      <c r="AF171" s="102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</row>
    <row r="172" spans="1:43">
      <c r="A172" s="53" t="s">
        <v>205</v>
      </c>
      <c r="B172" s="21">
        <f ca="1">OFFSET(Y!$A$11,MATCH($C$2,Y!$C$11:$C$48345,0),170)</f>
        <v>369</v>
      </c>
      <c r="C172" s="21">
        <f ca="1">OFFSET(Y!$A$12,MATCH($C$2,Y!$C$11:$C$48345,0),170)</f>
        <v>201</v>
      </c>
      <c r="D172" s="21">
        <f ca="1">OFFSET(Y!$A$13,MATCH($C$2,Y!$C$11:$C$48345,0),170)</f>
        <v>352</v>
      </c>
      <c r="E172" s="21">
        <f ca="1">OFFSET(Y!$A$14,MATCH($C$2,Y!$C$11:$C$48345,0),170)</f>
        <v>355</v>
      </c>
      <c r="F172" s="21">
        <f ca="1">OFFSET(Y!$A$15,MATCH($C$2,Y!$C$11:$C$48345,0),170)</f>
        <v>661</v>
      </c>
      <c r="G172" s="21">
        <f ca="1">OFFSET(Y!$A$16,MATCH($C$2,Y!$C$11:$C$48345,0),170)</f>
        <v>661</v>
      </c>
      <c r="H172" s="21">
        <f ca="1">OFFSET(Y!$A$17,MATCH($C$2,Y!$C$11:$C$48345,0),170)</f>
        <v>2270</v>
      </c>
      <c r="I172" s="21">
        <f ca="1">OFFSET(Y!$A$18,MATCH($C$2,Y!$C$11:$C$48345,0),170)</f>
        <v>1379</v>
      </c>
      <c r="J172" s="7" t="s">
        <v>205</v>
      </c>
      <c r="K172" s="21">
        <f ca="1">OFFSET(S!$A$11,MATCH($C$2,S!$C$11:$C$47348,0),170)</f>
        <v>364</v>
      </c>
      <c r="L172" s="21">
        <f ca="1">OFFSET(S!$A$12,MATCH($C$2,S!$C$11:$C$47348,0),170)</f>
        <v>48</v>
      </c>
      <c r="M172" s="21">
        <f ca="1">OFFSET(S!$A$13,MATCH($C$2,S!$C$11:$C$47348,0),170)</f>
        <v>219</v>
      </c>
      <c r="N172" s="21">
        <f ca="1">OFFSET(S!$A$14,MATCH($C$2,S!$C$11:$C$47348,0),170)</f>
        <v>77</v>
      </c>
      <c r="O172" s="21">
        <f ca="1">OFFSET(S!$A$15,MATCH($C$2,S!$C$11:$C$47348,0),170)</f>
        <v>70</v>
      </c>
      <c r="P172" s="21">
        <f ca="1">OFFSET(S!$A$16,MATCH($C$2,S!$C$11:$C$47348,0),170)</f>
        <v>40</v>
      </c>
      <c r="Q172" s="21">
        <f ca="1">OFFSET(S!$A$17,MATCH($C$2,S!$C$11:$C$47348,0),170)</f>
        <v>181</v>
      </c>
      <c r="R172" s="21">
        <f ca="1">OFFSET(S!$A$18,MATCH($C$2,S!$C$11:$C$47348,0),170)</f>
        <v>29</v>
      </c>
      <c r="X172" s="66"/>
      <c r="Y172" s="66"/>
      <c r="Z172" s="66"/>
      <c r="AA172" s="102"/>
      <c r="AB172" s="102"/>
      <c r="AC172" s="102"/>
      <c r="AD172" s="102"/>
      <c r="AE172" s="102"/>
      <c r="AF172" s="102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</row>
    <row r="173" spans="1:43">
      <c r="A173" s="54" t="s">
        <v>206</v>
      </c>
      <c r="B173" s="75">
        <f ca="1">OFFSET(Y!$A$11,MATCH($C$2,Y!$C$11:$C$48345,0),171)</f>
        <v>7454</v>
      </c>
      <c r="C173" s="75">
        <f ca="1">OFFSET(Y!$A$12,MATCH($C$2,Y!$C$11:$C$48345,0),171)</f>
        <v>9640</v>
      </c>
      <c r="D173" s="75">
        <f ca="1">OFFSET(Y!$A$13,MATCH($C$2,Y!$C$11:$C$48345,0),171)</f>
        <v>7791</v>
      </c>
      <c r="E173" s="75">
        <f ca="1">OFFSET(Y!$A$14,MATCH($C$2,Y!$C$11:$C$48345,0),171)</f>
        <v>10282</v>
      </c>
      <c r="F173" s="75">
        <f ca="1">OFFSET(Y!$A$15,MATCH($C$2,Y!$C$11:$C$48345,0),171)</f>
        <v>7330</v>
      </c>
      <c r="G173" s="75">
        <f ca="1">OFFSET(Y!$A$16,MATCH($C$2,Y!$C$11:$C$48345,0),171)</f>
        <v>3190</v>
      </c>
      <c r="H173" s="75">
        <f ca="1">OFFSET(Y!$A$17,MATCH($C$2,Y!$C$11:$C$48345,0),171)</f>
        <v>87</v>
      </c>
      <c r="I173" s="75">
        <f ca="1">OFFSET(Y!$A$18,MATCH($C$2,Y!$C$11:$C$48345,0),171)</f>
        <v>310</v>
      </c>
      <c r="J173" s="12" t="s">
        <v>206</v>
      </c>
      <c r="K173" s="20">
        <f ca="1">OFFSET(S!$A$11,MATCH($C$2,S!$C$11:$C$47348,0),171)</f>
        <v>21</v>
      </c>
      <c r="L173" s="20">
        <f ca="1">OFFSET(S!$A$12,MATCH($C$2,S!$C$11:$C$47348,0),171)</f>
        <v>10222</v>
      </c>
      <c r="M173" s="20">
        <f ca="1">OFFSET(S!$A$13,MATCH($C$2,S!$C$11:$C$47348,0),171)</f>
        <v>48</v>
      </c>
      <c r="N173" s="20">
        <f ca="1">OFFSET(S!$A$14,MATCH($C$2,S!$C$11:$C$47348,0),171)</f>
        <v>18</v>
      </c>
      <c r="O173" s="20">
        <f ca="1">OFFSET(S!$A$15,MATCH($C$2,S!$C$11:$C$47348,0),171)</f>
        <v>20</v>
      </c>
      <c r="P173" s="20">
        <f ca="1">OFFSET(S!$A$16,MATCH($C$2,S!$C$11:$C$47348,0),171)</f>
        <v>7203</v>
      </c>
      <c r="Q173" s="20">
        <f ca="1">OFFSET(S!$A$17,MATCH($C$2,S!$C$11:$C$47348,0),171)</f>
        <v>214</v>
      </c>
      <c r="R173" s="20">
        <f ca="1">OFFSET(S!$A$18,MATCH($C$2,S!$C$11:$C$47348,0),170)</f>
        <v>29</v>
      </c>
      <c r="X173" s="66"/>
      <c r="Y173" s="66"/>
      <c r="Z173" s="66"/>
      <c r="AA173" s="102"/>
      <c r="AB173" s="102"/>
      <c r="AC173" s="102"/>
      <c r="AD173" s="102"/>
      <c r="AE173" s="102"/>
      <c r="AF173" s="102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</row>
    <row r="174" spans="1:43">
      <c r="A174" s="53" t="s">
        <v>248</v>
      </c>
      <c r="B174" s="73">
        <f ca="1">OFFSET(Y!$A$11,MATCH($C$2,Y!$C$11:$C$48345,0),172)</f>
        <v>40627</v>
      </c>
      <c r="C174" s="73">
        <f ca="1">OFFSET(Y!$A$12,MATCH($C$2,Y!$C$11:$C$48345,0),172)</f>
        <v>39276</v>
      </c>
      <c r="D174" s="73">
        <f ca="1">OFFSET(Y!$A$13,MATCH($C$2,Y!$C$11:$C$48345,0),172)</f>
        <v>63929</v>
      </c>
      <c r="E174" s="73">
        <f ca="1">OFFSET(Y!$A$14,MATCH($C$2,Y!$C$11:$C$48345,0),172)</f>
        <v>180800</v>
      </c>
      <c r="F174" s="73">
        <f ca="1">OFFSET(Y!$A$15,MATCH($C$2,Y!$C$11:$C$48345,0),172)</f>
        <v>108176</v>
      </c>
      <c r="G174" s="73">
        <f ca="1">OFFSET(Y!$A$16,MATCH($C$2,Y!$C$11:$C$48345,0),172)</f>
        <v>78778</v>
      </c>
      <c r="H174" s="73">
        <f ca="1">OFFSET(Y!$A$17,MATCH($C$2,Y!$C$11:$C$48345,0),172)</f>
        <v>77422</v>
      </c>
      <c r="I174" s="73">
        <f ca="1">OFFSET(Y!$A$18,MATCH($C$2,Y!$C$11:$C$48345,0),172)</f>
        <v>-7195</v>
      </c>
      <c r="J174" s="7" t="s">
        <v>248</v>
      </c>
      <c r="K174" s="21">
        <f ca="1">OFFSET(S!$A$11,MATCH($C$2,S!$C$11:$C$47348,0),172)</f>
        <v>-2811</v>
      </c>
      <c r="L174" s="21">
        <f ca="1">OFFSET(S!$A$12,MATCH($C$2,S!$C$11:$C$47348,0),172)</f>
        <v>8887</v>
      </c>
      <c r="M174" s="21">
        <f ca="1">OFFSET(S!$A$13,MATCH($C$2,S!$C$11:$C$47348,0),172)</f>
        <v>5543</v>
      </c>
      <c r="N174" s="21">
        <f ca="1">OFFSET(S!$A$14,MATCH($C$2,S!$C$11:$C$47348,0),172)</f>
        <v>38893</v>
      </c>
      <c r="O174" s="21">
        <f ca="1">OFFSET(S!$A$15,MATCH($C$2,S!$C$11:$C$47348,0),172)</f>
        <v>18066</v>
      </c>
      <c r="P174" s="21">
        <f ca="1">OFFSET(S!$A$16,MATCH($C$2,S!$C$11:$C$47348,0),172)</f>
        <v>3184</v>
      </c>
      <c r="Q174" s="21">
        <f ca="1">OFFSET(S!$A$17,MATCH($C$2,S!$C$11:$C$47348,0),172)</f>
        <v>-19517</v>
      </c>
      <c r="R174" s="21">
        <f ca="1">OFFSET(S!$A$18,MATCH($C$2,S!$C$11:$C$47348,0),172)</f>
        <v>25767</v>
      </c>
      <c r="X174" s="66"/>
      <c r="Y174" s="66"/>
      <c r="Z174" s="66"/>
      <c r="AA174" s="102"/>
      <c r="AB174" s="102"/>
      <c r="AC174" s="102"/>
      <c r="AD174" s="102"/>
      <c r="AE174" s="102"/>
      <c r="AF174" s="102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</row>
    <row r="175" spans="1:43">
      <c r="A175" s="54" t="s">
        <v>171</v>
      </c>
      <c r="B175" s="76">
        <f ca="1">OFFSET(Y!$A$11,MATCH($C$2,Y!$C$11:$C$48345,0),173)</f>
        <v>78.3</v>
      </c>
      <c r="C175" s="76">
        <f ca="1">OFFSET(Y!$A$12,MATCH($C$2,Y!$C$11:$C$48345,0),173)</f>
        <v>75</v>
      </c>
      <c r="D175" s="76">
        <f ca="1">OFFSET(Y!$A$13,MATCH($C$2,Y!$C$11:$C$48345,0),173)</f>
        <v>65.2</v>
      </c>
      <c r="E175" s="76">
        <f ca="1">OFFSET(Y!$A$14,MATCH($C$2,Y!$C$11:$C$48345,0),173)</f>
        <v>69.8</v>
      </c>
      <c r="F175" s="76">
        <f ca="1">OFFSET(Y!$A$15,MATCH($C$2,Y!$C$11:$C$48345,0),173)</f>
        <v>73.099999999999994</v>
      </c>
      <c r="G175" s="76">
        <f ca="1">OFFSET(Y!$A$16,MATCH($C$2,Y!$C$11:$C$48345,0),173)</f>
        <v>70</v>
      </c>
      <c r="H175" s="76">
        <f ca="1">OFFSET(Y!$A$17,MATCH($C$2,Y!$C$11:$C$48345,0),173)</f>
        <v>64.3</v>
      </c>
      <c r="I175" s="76">
        <f ca="1">OFFSET(Y!$A$18,MATCH($C$2,Y!$C$11:$C$48345,0),173)</f>
        <v>68.5</v>
      </c>
      <c r="J175" s="66"/>
      <c r="K175" s="66"/>
      <c r="L175" s="66"/>
      <c r="M175" s="66"/>
      <c r="N175" s="66"/>
      <c r="O175" s="66"/>
      <c r="P175" s="66"/>
      <c r="Q175" s="66"/>
      <c r="R175" s="66"/>
      <c r="X175" s="66"/>
      <c r="Y175" s="66"/>
      <c r="Z175" s="66"/>
      <c r="AA175" s="102"/>
      <c r="AB175" s="102"/>
      <c r="AC175" s="102"/>
      <c r="AD175" s="102"/>
      <c r="AE175" s="102"/>
      <c r="AF175" s="102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</row>
    <row r="176" spans="1:43">
      <c r="A176" s="53" t="s">
        <v>173</v>
      </c>
      <c r="B176" s="73">
        <f ca="1">OFFSET(Y!$A$11,MATCH($C$2,Y!$C$11:$C$48345,0),174)</f>
        <v>62.2</v>
      </c>
      <c r="C176" s="73">
        <f ca="1">OFFSET(Y!$A$12,MATCH($C$2,Y!$C$11:$C$48345,0),174)</f>
        <v>57</v>
      </c>
      <c r="D176" s="73">
        <f ca="1">OFFSET(Y!$A$13,MATCH($C$2,Y!$C$11:$C$48345,0),174)</f>
        <v>38.700000000000003</v>
      </c>
      <c r="E176" s="73">
        <f ca="1">OFFSET(Y!$A$14,MATCH($C$2,Y!$C$11:$C$48345,0),174)</f>
        <v>36.4</v>
      </c>
      <c r="F176" s="73">
        <f ca="1">OFFSET(Y!$A$15,MATCH($C$2,Y!$C$11:$C$48345,0),174)</f>
        <v>57.4</v>
      </c>
      <c r="G176" s="73">
        <f ca="1">OFFSET(Y!$A$16,MATCH($C$2,Y!$C$11:$C$48345,0),174)</f>
        <v>52.3</v>
      </c>
      <c r="H176" s="73">
        <f ca="1">OFFSET(Y!$A$17,MATCH($C$2,Y!$C$11:$C$48345,0),174)</f>
        <v>46.2</v>
      </c>
      <c r="I176" s="73">
        <f ca="1">OFFSET(Y!$A$18,MATCH($C$2,Y!$C$11:$C$48345,0),174)</f>
        <v>40.700000000000003</v>
      </c>
      <c r="J176" s="66"/>
      <c r="K176" s="66"/>
      <c r="L176" s="66"/>
      <c r="M176" s="66"/>
      <c r="N176" s="66"/>
      <c r="O176" s="66"/>
      <c r="P176" s="66"/>
      <c r="Q176" s="66"/>
      <c r="R176" s="66"/>
      <c r="X176" s="66"/>
      <c r="Y176" s="66"/>
      <c r="Z176" s="66"/>
      <c r="AA176" s="102"/>
      <c r="AB176" s="102"/>
      <c r="AC176" s="102"/>
      <c r="AD176" s="102"/>
      <c r="AE176" s="102"/>
      <c r="AF176" s="102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</row>
    <row r="177" spans="1:43" ht="17.25" thickBot="1">
      <c r="A177" s="88" t="s">
        <v>175</v>
      </c>
      <c r="B177" s="89">
        <f ca="1">OFFSET(Y!$A$11,MATCH($C$2,Y!$C$11:$C$48345,0),175)</f>
        <v>74.299480709999997</v>
      </c>
      <c r="C177" s="89">
        <f ca="1">OFFSET(Y!$A$12,MATCH($C$2,Y!$C$11:$C$48345,0),175)</f>
        <v>77.298993969999998</v>
      </c>
      <c r="D177" s="89">
        <f ca="1">OFFSET(Y!$A$13,MATCH($C$2,Y!$C$11:$C$48345,0),175)</f>
        <v>80.298726389999999</v>
      </c>
      <c r="E177" s="89">
        <f ca="1">OFFSET(Y!$A$14,MATCH($C$2,Y!$C$11:$C$48345,0),175)</f>
        <v>83.70009804</v>
      </c>
      <c r="F177" s="89">
        <f ca="1">OFFSET(Y!$A$15,MATCH($C$2,Y!$C$11:$C$48345,0),175)</f>
        <v>87.147183929999997</v>
      </c>
      <c r="G177" s="89">
        <f ca="1">OFFSET(Y!$A$16,MATCH($C$2,Y!$C$11:$C$48345,0),175)</f>
        <v>90.582419849999994</v>
      </c>
      <c r="H177" s="89">
        <f ca="1">OFFSET(Y!$A$17,MATCH($C$2,Y!$C$11:$C$48345,0),175)</f>
        <v>95.798086620000007</v>
      </c>
      <c r="I177" s="89">
        <f ca="1">OFFSET(Y!$A$18,MATCH($C$2,Y!$C$11:$C$48345,0),175)</f>
        <v>102.58750360000001</v>
      </c>
      <c r="J177" s="66"/>
      <c r="K177" s="66"/>
      <c r="L177" s="66"/>
      <c r="M177" s="66"/>
      <c r="N177" s="66"/>
      <c r="O177" s="66"/>
      <c r="P177" s="66"/>
      <c r="Q177" s="66"/>
      <c r="R177" s="66"/>
      <c r="X177" s="66"/>
      <c r="Y177" s="66"/>
      <c r="Z177" s="66"/>
      <c r="AA177" s="102"/>
      <c r="AB177" s="102"/>
      <c r="AC177" s="102"/>
      <c r="AD177" s="102"/>
      <c r="AE177" s="102"/>
      <c r="AF177" s="102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</row>
    <row r="178" spans="1:43" ht="17.25" thickTop="1">
      <c r="A178" s="90" t="s">
        <v>10</v>
      </c>
      <c r="B178" s="91">
        <f ca="1">OFFSET(Y!$A$11,MATCH($C$2,Y!$C$11:$C$48345,0),176)</f>
        <v>101</v>
      </c>
      <c r="C178" s="91">
        <f ca="1">OFFSET(Y!$A$12,MATCH($C$2,Y!$C$11:$C$48345,0),176)</f>
        <v>100</v>
      </c>
      <c r="D178" s="91">
        <f ca="1">OFFSET(Y!$A$13,MATCH($C$2,Y!$C$11:$C$48345,0),176)</f>
        <v>99</v>
      </c>
      <c r="E178" s="91">
        <f ca="1">OFFSET(Y!$A$14,MATCH($C$2,Y!$C$11:$C$48345,0),176)</f>
        <v>98</v>
      </c>
      <c r="F178" s="91">
        <f ca="1">OFFSET(Y!$A$15,MATCH($C$2,Y!$C$11:$C$48345,0),176)</f>
        <v>97</v>
      </c>
      <c r="G178" s="91">
        <f ca="1">OFFSET(Y!$A$16,MATCH($C$2,Y!$C$11:$C$48345,0),176)</f>
        <v>96</v>
      </c>
      <c r="H178" s="91">
        <f ca="1">OFFSET(Y!$A$17,MATCH($C$2,Y!$C$11:$C$48345,0),176)</f>
        <v>95</v>
      </c>
      <c r="I178" s="92">
        <f ca="1">OFFSET(Y!$A$18,MATCH($C$2,Y!$C$11:$C$48345,0),176)</f>
        <v>94</v>
      </c>
      <c r="J178" s="66"/>
      <c r="K178" s="66"/>
      <c r="L178" s="66"/>
      <c r="M178" s="66"/>
      <c r="N178" s="66"/>
      <c r="O178" s="66"/>
      <c r="P178" s="66"/>
      <c r="Q178" s="66"/>
      <c r="R178" s="66"/>
      <c r="X178" s="66"/>
      <c r="Y178" s="66"/>
      <c r="Z178" s="66"/>
      <c r="AA178" s="102"/>
      <c r="AB178" s="102"/>
      <c r="AC178" s="102"/>
      <c r="AD178" s="102"/>
      <c r="AE178" s="102"/>
      <c r="AF178" s="102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</row>
    <row r="179" spans="1:43">
      <c r="A179" s="93" t="s">
        <v>179</v>
      </c>
      <c r="B179" s="72">
        <f ca="1">OFFSET(Y!$A$11,MATCH($C$2,Y!$C$11:$C$48345,0),177)</f>
        <v>2358785</v>
      </c>
      <c r="C179" s="72">
        <f ca="1">OFFSET(Y!$A$12,MATCH($C$2,Y!$C$11:$C$48345,0),177)</f>
        <v>2020773</v>
      </c>
      <c r="D179" s="72">
        <f ca="1">OFFSET(Y!$A$13,MATCH($C$2,Y!$C$11:$C$48345,0),177)</f>
        <v>1888476</v>
      </c>
      <c r="E179" s="72">
        <f ca="1">OFFSET(Y!$A$14,MATCH($C$2,Y!$C$11:$C$48345,0),177)</f>
        <v>1683263</v>
      </c>
      <c r="F179" s="72">
        <f ca="1">OFFSET(Y!$A$15,MATCH($C$2,Y!$C$11:$C$48345,0),177)</f>
        <v>1781126</v>
      </c>
      <c r="G179" s="72">
        <f ca="1">OFFSET(Y!$A$16,MATCH($C$2,Y!$C$11:$C$48345,0),177)</f>
        <v>1928688</v>
      </c>
      <c r="H179" s="72">
        <f ca="1">OFFSET(Y!$A$17,MATCH($C$2,Y!$C$11:$C$48345,0),177)</f>
        <v>1753406</v>
      </c>
      <c r="I179" s="94">
        <f ca="1">OFFSET(Y!$A$18,MATCH($C$2,Y!$C$11:$C$48345,0),177)</f>
        <v>1580000</v>
      </c>
      <c r="J179" s="66"/>
      <c r="K179" s="66"/>
      <c r="L179" s="66"/>
      <c r="M179" s="66"/>
      <c r="N179" s="66"/>
      <c r="O179" s="66"/>
      <c r="P179" s="66"/>
      <c r="Q179" s="66"/>
      <c r="R179" s="66"/>
      <c r="X179" s="66"/>
      <c r="Y179" s="66"/>
      <c r="Z179" s="66"/>
      <c r="AA179" s="102"/>
      <c r="AB179" s="102"/>
      <c r="AC179" s="102"/>
      <c r="AD179" s="102"/>
      <c r="AE179" s="102"/>
      <c r="AF179" s="102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</row>
    <row r="180" spans="1:43">
      <c r="A180" s="95" t="s">
        <v>181</v>
      </c>
      <c r="B180" s="71">
        <f ca="1">OFFSET(Y!$A$11,MATCH($C$2,Y!$C$11:$C$48345,0),178)</f>
        <v>1925575</v>
      </c>
      <c r="C180" s="71">
        <f ca="1">OFFSET(Y!$A$12,MATCH($C$2,Y!$C$11:$C$48345,0),178)</f>
        <v>1640368</v>
      </c>
      <c r="D180" s="71">
        <f ca="1">OFFSET(Y!$A$13,MATCH($C$2,Y!$C$11:$C$48345,0),178)</f>
        <v>1481518</v>
      </c>
      <c r="E180" s="71">
        <f ca="1">OFFSET(Y!$A$14,MATCH($C$2,Y!$C$11:$C$48345,0),178)</f>
        <v>1014761</v>
      </c>
      <c r="F180" s="71">
        <f ca="1">OFFSET(Y!$A$15,MATCH($C$2,Y!$C$11:$C$48345,0),178)</f>
        <v>953214</v>
      </c>
      <c r="G180" s="71">
        <f ca="1">OFFSET(Y!$A$16,MATCH($C$2,Y!$C$11:$C$48345,0),178)</f>
        <v>1545776</v>
      </c>
      <c r="H180" s="71">
        <f ca="1">OFFSET(Y!$A$17,MATCH($C$2,Y!$C$11:$C$48345,0),178)</f>
        <v>1366041</v>
      </c>
      <c r="I180" s="96">
        <f ca="1">OFFSET(Y!$A$18,MATCH($C$2,Y!$C$11:$C$48345,0),178)</f>
        <v>1088188</v>
      </c>
      <c r="J180" s="66"/>
      <c r="K180" s="66"/>
      <c r="L180" s="66"/>
      <c r="M180" s="66"/>
      <c r="N180" s="66"/>
      <c r="O180" s="66"/>
      <c r="P180" s="66"/>
      <c r="Q180" s="66"/>
      <c r="R180" s="66"/>
      <c r="X180" s="66"/>
      <c r="Y180" s="66"/>
      <c r="Z180" s="66"/>
      <c r="AA180" s="102"/>
      <c r="AB180" s="102"/>
      <c r="AC180" s="102"/>
      <c r="AD180" s="102"/>
      <c r="AE180" s="102"/>
      <c r="AF180" s="102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</row>
    <row r="181" spans="1:43">
      <c r="A181" s="93" t="s">
        <v>183</v>
      </c>
      <c r="B181" s="75">
        <f ca="1">OFFSET(Y!$A$11,MATCH($C$2,Y!$C$11:$C$48345,0),179)</f>
        <v>18</v>
      </c>
      <c r="C181" s="75">
        <f ca="1">OFFSET(Y!$A$12,MATCH($C$2,Y!$C$11:$C$48345,0),179)</f>
        <v>14</v>
      </c>
      <c r="D181" s="75">
        <f ca="1">OFFSET(Y!$A$13,MATCH($C$2,Y!$C$11:$C$48345,0),179)</f>
        <v>24</v>
      </c>
      <c r="E181" s="75">
        <f ca="1">OFFSET(Y!$A$14,MATCH($C$2,Y!$C$11:$C$48345,0),179)</f>
        <v>24</v>
      </c>
      <c r="F181" s="75">
        <f ca="1">OFFSET(Y!$A$15,MATCH($C$2,Y!$C$11:$C$48345,0),179)</f>
        <v>17</v>
      </c>
      <c r="G181" s="75">
        <f ca="1">OFFSET(Y!$A$16,MATCH($C$2,Y!$C$11:$C$48345,0),179)</f>
        <v>17</v>
      </c>
      <c r="H181" s="75">
        <f ca="1">OFFSET(Y!$A$17,MATCH($C$2,Y!$C$11:$C$48345,0),179)</f>
        <v>21</v>
      </c>
      <c r="I181" s="97">
        <f ca="1">OFFSET(Y!$A$18,MATCH($C$2,Y!$C$11:$C$48345,0),179)</f>
        <v>19</v>
      </c>
      <c r="J181" s="66"/>
      <c r="K181" s="66"/>
      <c r="L181" s="66"/>
      <c r="M181" s="66"/>
      <c r="N181" s="66"/>
      <c r="O181" s="66"/>
      <c r="P181" s="66"/>
      <c r="Q181" s="66"/>
      <c r="R181" s="66"/>
      <c r="X181" s="66"/>
      <c r="Y181" s="66"/>
      <c r="Z181" s="66"/>
      <c r="AA181" s="102"/>
      <c r="AB181" s="102"/>
      <c r="AC181" s="102"/>
      <c r="AD181" s="102"/>
      <c r="AE181" s="102"/>
      <c r="AF181" s="102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</row>
    <row r="182" spans="1:43" ht="17.25" thickBot="1">
      <c r="A182" s="98" t="s">
        <v>185</v>
      </c>
      <c r="B182" s="99">
        <f ca="1">OFFSET(Y!$A$11,MATCH($C$2,Y!$C$11:$C$48345,0),180)</f>
        <v>14</v>
      </c>
      <c r="C182" s="99">
        <f ca="1">OFFSET(Y!$A$12,MATCH($C$2,Y!$C$11:$C$48345,0),180)</f>
        <v>10</v>
      </c>
      <c r="D182" s="99">
        <f ca="1">OFFSET(Y!$A$13,MATCH($C$2,Y!$C$11:$C$48345,0),180)</f>
        <v>11</v>
      </c>
      <c r="E182" s="99">
        <f ca="1">OFFSET(Y!$A$14,MATCH($C$2,Y!$C$11:$C$48345,0),180)</f>
        <v>8</v>
      </c>
      <c r="F182" s="99">
        <f ca="1">OFFSET(Y!$A$15,MATCH($C$2,Y!$C$11:$C$48345,0),180)</f>
        <v>8</v>
      </c>
      <c r="G182" s="99">
        <f ca="1">OFFSET(Y!$A$16,MATCH($C$2,Y!$C$11:$C$48345,0),180)</f>
        <v>12</v>
      </c>
      <c r="H182" s="99">
        <f ca="1">OFFSET(Y!$A$17,MATCH($C$2,Y!$C$11:$C$48345,0),180)</f>
        <v>12</v>
      </c>
      <c r="I182" s="100">
        <f ca="1">OFFSET(Y!$A$18,MATCH($C$2,Y!$C$11:$C$48345,0),180)</f>
        <v>13</v>
      </c>
      <c r="J182" s="66"/>
      <c r="K182" s="66"/>
      <c r="L182" s="66"/>
      <c r="M182" s="66"/>
      <c r="N182" s="66"/>
      <c r="O182" s="66"/>
      <c r="P182" s="66"/>
      <c r="Q182" s="66"/>
      <c r="R182" s="66"/>
      <c r="X182" s="66"/>
      <c r="Y182" s="66"/>
      <c r="Z182" s="66"/>
      <c r="AA182" s="102"/>
      <c r="AB182" s="102"/>
      <c r="AC182" s="102"/>
      <c r="AD182" s="102"/>
      <c r="AE182" s="102"/>
      <c r="AF182" s="102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</row>
    <row r="183" spans="1:43" ht="17.25" thickTop="1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</row>
    <row r="184" spans="1:43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</row>
    <row r="185" spans="1:43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</row>
    <row r="186" spans="1:43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</row>
    <row r="187" spans="1:43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</row>
    <row r="188" spans="1:43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</row>
    <row r="189" spans="1:43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</row>
    <row r="190" spans="1:43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</row>
    <row r="191" spans="1:43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</row>
    <row r="192" spans="1:43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</row>
    <row r="193" spans="1:18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</row>
    <row r="194" spans="1:18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</row>
    <row r="195" spans="1:18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</row>
    <row r="196" spans="1:18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</row>
    <row r="197" spans="1:18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</row>
    <row r="198" spans="1:18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</row>
    <row r="199" spans="1:18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</row>
    <row r="200" spans="1:18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</row>
    <row r="201" spans="1:18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</row>
    <row r="202" spans="1:18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</row>
    <row r="203" spans="1:18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</row>
    <row r="204" spans="1:18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</row>
    <row r="205" spans="1:18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</row>
    <row r="206" spans="1:18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</row>
    <row r="207" spans="1:18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</row>
    <row r="208" spans="1:18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</row>
    <row r="209" spans="1:18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</row>
    <row r="210" spans="1:18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</row>
    <row r="211" spans="1:18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</row>
    <row r="212" spans="1:18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</row>
    <row r="213" spans="1:18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</row>
    <row r="214" spans="1:18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</row>
    <row r="215" spans="1:18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</row>
    <row r="216" spans="1:18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</row>
    <row r="217" spans="1:18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</row>
    <row r="218" spans="1:18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</row>
    <row r="219" spans="1:18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</row>
    <row r="220" spans="1:18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</row>
    <row r="221" spans="1:18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</row>
    <row r="222" spans="1:18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</row>
    <row r="223" spans="1:18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</row>
    <row r="224" spans="1:18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</row>
    <row r="225" spans="1:18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</row>
    <row r="226" spans="1:18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</row>
    <row r="227" spans="1:18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</row>
    <row r="228" spans="1:18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</row>
    <row r="229" spans="1:18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</row>
    <row r="230" spans="1:18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</row>
    <row r="231" spans="1:18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</row>
    <row r="232" spans="1:18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</row>
    <row r="233" spans="1:18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</row>
    <row r="234" spans="1:18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</row>
    <row r="235" spans="1:18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</row>
    <row r="236" spans="1:18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</row>
    <row r="237" spans="1:18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</row>
    <row r="238" spans="1:18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</row>
    <row r="239" spans="1:18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</row>
    <row r="240" spans="1:18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</row>
    <row r="241" spans="1:18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</row>
    <row r="242" spans="1:18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</row>
    <row r="243" spans="1:18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</row>
    <row r="244" spans="1:18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</row>
    <row r="245" spans="1:18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</row>
    <row r="246" spans="1:18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</row>
    <row r="247" spans="1:18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</row>
    <row r="248" spans="1:18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</row>
    <row r="249" spans="1:18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</row>
    <row r="250" spans="1:18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</row>
    <row r="251" spans="1:18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</row>
    <row r="252" spans="1:18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</row>
    <row r="253" spans="1:18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</row>
    <row r="254" spans="1:18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</row>
    <row r="255" spans="1:18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</row>
    <row r="256" spans="1:18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</row>
    <row r="257" spans="1:18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</row>
    <row r="258" spans="1:18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</row>
    <row r="259" spans="1:18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</row>
    <row r="260" spans="1:18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</row>
    <row r="261" spans="1:18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</row>
    <row r="262" spans="1:18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</row>
    <row r="263" spans="1:18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</row>
    <row r="264" spans="1:18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</row>
    <row r="265" spans="1:18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</row>
    <row r="266" spans="1:18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</row>
    <row r="267" spans="1:18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</row>
    <row r="268" spans="1:18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</row>
    <row r="269" spans="1:18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</row>
    <row r="270" spans="1:18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</row>
    <row r="271" spans="1:18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</row>
    <row r="272" spans="1:18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</row>
    <row r="273" spans="1:18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</row>
    <row r="274" spans="1:18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</row>
    <row r="275" spans="1:18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</row>
    <row r="276" spans="1:18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</row>
    <row r="277" spans="1:18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</row>
    <row r="278" spans="1:18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</row>
    <row r="279" spans="1:18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</row>
    <row r="280" spans="1:18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</row>
    <row r="281" spans="1:18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</row>
    <row r="282" spans="1:18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</row>
    <row r="283" spans="1:18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</row>
    <row r="284" spans="1:18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</row>
    <row r="285" spans="1:18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</row>
    <row r="286" spans="1:18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</row>
    <row r="287" spans="1:18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</row>
    <row r="288" spans="1:18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</row>
    <row r="289" spans="1:18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</row>
    <row r="290" spans="1:18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</row>
    <row r="291" spans="1:18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</row>
    <row r="292" spans="1:18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</row>
    <row r="293" spans="1:18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</row>
    <row r="294" spans="1:18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</row>
    <row r="295" spans="1:18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</row>
    <row r="296" spans="1:18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</row>
    <row r="297" spans="1:18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</row>
    <row r="298" spans="1:18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</row>
    <row r="299" spans="1:18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</row>
    <row r="300" spans="1:18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</row>
    <row r="301" spans="1:18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</row>
    <row r="302" spans="1:18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</row>
    <row r="303" spans="1:18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</row>
    <row r="304" spans="1:18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</row>
    <row r="305" spans="1:18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</row>
    <row r="306" spans="1:18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</row>
    <row r="307" spans="1:18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</row>
    <row r="308" spans="1:18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</row>
    <row r="309" spans="1:18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</row>
    <row r="310" spans="1:18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</row>
    <row r="311" spans="1:18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</row>
    <row r="312" spans="1:18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</row>
    <row r="313" spans="1:18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</row>
    <row r="314" spans="1:18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</row>
    <row r="315" spans="1:18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</row>
    <row r="316" spans="1:18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</row>
    <row r="317" spans="1:18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</row>
    <row r="318" spans="1:18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</row>
    <row r="319" spans="1:18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</row>
    <row r="320" spans="1:18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</row>
    <row r="321" spans="1:18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</row>
    <row r="322" spans="1:18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</row>
    <row r="323" spans="1:18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</row>
    <row r="324" spans="1:18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</row>
    <row r="325" spans="1:18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</row>
    <row r="326" spans="1:18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</row>
  </sheetData>
  <sheetProtection password="FA0B" sheet="1" objects="1" scenarios="1"/>
  <mergeCells count="4">
    <mergeCell ref="V19:W19"/>
    <mergeCell ref="A1:B1"/>
    <mergeCell ref="C2:D2"/>
    <mergeCell ref="T19:U19"/>
  </mergeCells>
  <phoneticPr fontId="2" type="noConversion"/>
  <conditionalFormatting sqref="W26 I8 B4:I4">
    <cfRule type="cellIs" dxfId="35" priority="22" operator="between">
      <formula>0</formula>
      <formula>9.9999</formula>
    </cfRule>
    <cfRule type="cellIs" dxfId="34" priority="23" operator="between">
      <formula>10</formula>
      <formula>14.9999</formula>
    </cfRule>
    <cfRule type="cellIs" dxfId="33" priority="24" operator="greaterThanOrEqual">
      <formula>15</formula>
    </cfRule>
    <cfRule type="cellIs" dxfId="32" priority="25" operator="lessThanOrEqual">
      <formula>-0.0001</formula>
    </cfRule>
  </conditionalFormatting>
  <conditionalFormatting sqref="W27 B8:I8">
    <cfRule type="cellIs" dxfId="31" priority="19" operator="between">
      <formula>0.4</formula>
      <formula>0.599999</formula>
    </cfRule>
    <cfRule type="cellIs" dxfId="30" priority="20" operator="lessThanOrEqual">
      <formula>0.3999999</formula>
    </cfRule>
    <cfRule type="cellIs" dxfId="29" priority="21" operator="greaterThanOrEqual">
      <formula>0.6</formula>
    </cfRule>
  </conditionalFormatting>
  <conditionalFormatting sqref="K4:R4">
    <cfRule type="cellIs" dxfId="28" priority="15" operator="lessThanOrEqual">
      <formula>-0.0001</formula>
    </cfRule>
    <cfRule type="cellIs" dxfId="27" priority="16" operator="greaterThanOrEqual">
      <formula>3.5</formula>
    </cfRule>
    <cfRule type="cellIs" dxfId="26" priority="17" operator="between">
      <formula>2.5</formula>
      <formula>3.4999</formula>
    </cfRule>
    <cfRule type="cellIs" dxfId="25" priority="18" operator="between">
      <formula>0</formula>
      <formula>2.4999</formula>
    </cfRule>
  </conditionalFormatting>
  <conditionalFormatting sqref="B99:I102 B107:I107 B110:I120 K107:R107 K110:R120 K99:R102">
    <cfRule type="cellIs" dxfId="24" priority="14" operator="lessThan">
      <formula>0</formula>
    </cfRule>
  </conditionalFormatting>
  <conditionalFormatting sqref="B9:I9">
    <cfRule type="cellIs" dxfId="23" priority="9" operator="lessThan">
      <formula>0</formula>
    </cfRule>
    <cfRule type="cellIs" dxfId="22" priority="10" operator="greaterThanOrEqual">
      <formula>2</formula>
    </cfRule>
    <cfRule type="cellIs" dxfId="21" priority="11" operator="between">
      <formula>0.8</formula>
      <formula>1.9999</formula>
    </cfRule>
    <cfRule type="cellIs" dxfId="20" priority="12" operator="between">
      <formula>0.4001</formula>
      <formula>0.7999</formula>
    </cfRule>
    <cfRule type="cellIs" dxfId="19" priority="13" operator="lessThanOrEqual">
      <formula>0.4</formula>
    </cfRule>
  </conditionalFormatting>
  <conditionalFormatting sqref="T31:U34 T29:W29 T28 T30 W22 T21:W21 T23:W23 T25:W27">
    <cfRule type="cellIs" dxfId="18" priority="8" operator="lessThan">
      <formula>-0.0001</formula>
    </cfRule>
  </conditionalFormatting>
  <pageMargins left="0.7" right="0.7" top="0.75" bottom="0.75" header="0.3" footer="0.3"/>
  <pageSetup paperSize="9" orientation="portrait" r:id="rId1"/>
  <ignoredErrors>
    <ignoredError sqref="W28:W29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code!$A$2:$A$5</xm:f>
          </x14:formula1>
          <xm:sqref>C1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326"/>
  <sheetViews>
    <sheetView workbookViewId="0">
      <selection activeCell="A11" sqref="A11"/>
    </sheetView>
  </sheetViews>
  <sheetFormatPr defaultRowHeight="16.5"/>
  <cols>
    <col min="1" max="1" width="17.5" style="2" customWidth="1"/>
    <col min="2" max="9" width="8" style="2" customWidth="1"/>
    <col min="10" max="10" width="17.5" style="2" customWidth="1"/>
    <col min="11" max="18" width="8" style="2" customWidth="1"/>
    <col min="19" max="19" width="1.25" style="2" customWidth="1"/>
    <col min="20" max="26" width="9" style="2"/>
    <col min="27" max="27" width="9" style="101"/>
    <col min="28" max="32" width="0.125" style="101" customWidth="1"/>
    <col min="33" max="34" width="0.125" style="2" customWidth="1"/>
    <col min="35" max="16384" width="9" style="2"/>
  </cols>
  <sheetData>
    <row r="1" spans="1:43">
      <c r="A1" s="165" t="s">
        <v>251</v>
      </c>
      <c r="B1" s="165"/>
      <c r="C1" s="2">
        <v>2330</v>
      </c>
      <c r="S1" s="66"/>
      <c r="T1" s="66"/>
      <c r="U1" s="66"/>
      <c r="V1" s="66"/>
      <c r="W1" s="66"/>
      <c r="X1" s="66"/>
      <c r="Y1" s="66"/>
      <c r="Z1" s="66"/>
      <c r="AA1" s="102"/>
      <c r="AB1" s="102"/>
      <c r="AC1" s="102"/>
      <c r="AD1" s="102"/>
      <c r="AE1" s="102"/>
      <c r="AF1" s="102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</row>
    <row r="2" spans="1:43">
      <c r="A2" s="57" t="s">
        <v>226</v>
      </c>
      <c r="B2" s="58">
        <v>2330</v>
      </c>
      <c r="C2" s="166" t="s">
        <v>254</v>
      </c>
      <c r="D2" s="166"/>
      <c r="E2" s="87" t="s">
        <v>252</v>
      </c>
      <c r="F2" s="55" t="s">
        <v>260</v>
      </c>
      <c r="G2" s="56"/>
      <c r="H2" s="56"/>
      <c r="I2" s="56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102"/>
      <c r="AB2" s="102"/>
      <c r="AC2" s="102"/>
      <c r="AD2" s="102"/>
      <c r="AE2" s="102"/>
      <c r="AF2" s="102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</row>
    <row r="3" spans="1:43">
      <c r="A3" s="5" t="s">
        <v>2</v>
      </c>
      <c r="B3" s="5">
        <v>100</v>
      </c>
      <c r="C3" s="5">
        <v>99</v>
      </c>
      <c r="D3" s="5">
        <v>98</v>
      </c>
      <c r="E3" s="5">
        <v>97</v>
      </c>
      <c r="F3" s="5">
        <v>96</v>
      </c>
      <c r="G3" s="5">
        <v>95</v>
      </c>
      <c r="H3" s="5">
        <v>94</v>
      </c>
      <c r="I3" s="5">
        <v>93</v>
      </c>
      <c r="J3" s="6" t="s">
        <v>3</v>
      </c>
      <c r="K3" s="6" t="s">
        <v>257</v>
      </c>
      <c r="L3" s="6" t="s">
        <v>238</v>
      </c>
      <c r="M3" s="6" t="s">
        <v>228</v>
      </c>
      <c r="N3" s="6" t="s">
        <v>229</v>
      </c>
      <c r="O3" s="6" t="s">
        <v>4</v>
      </c>
      <c r="P3" s="6" t="s">
        <v>5</v>
      </c>
      <c r="Q3" s="6" t="s">
        <v>6</v>
      </c>
      <c r="R3" s="6" t="s">
        <v>7</v>
      </c>
      <c r="S3" s="4"/>
      <c r="T3" s="4"/>
      <c r="U3" s="4"/>
      <c r="V3" s="4"/>
      <c r="W3" s="4"/>
      <c r="X3" s="4"/>
      <c r="Y3" s="4"/>
      <c r="Z3" s="4"/>
      <c r="AA3" s="102"/>
      <c r="AB3" s="103"/>
      <c r="AC3" s="103"/>
      <c r="AD3" s="103"/>
      <c r="AE3" s="103"/>
      <c r="AF3" s="102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</row>
    <row r="4" spans="1:43">
      <c r="A4" s="7" t="s">
        <v>269</v>
      </c>
      <c r="B4" s="73">
        <v>22.3</v>
      </c>
      <c r="C4" s="73">
        <v>30.23</v>
      </c>
      <c r="D4" s="73">
        <v>18.37</v>
      </c>
      <c r="E4" s="73">
        <v>20.74</v>
      </c>
      <c r="F4" s="73">
        <v>21.94</v>
      </c>
      <c r="G4" s="73">
        <v>26.69</v>
      </c>
      <c r="H4" s="73">
        <v>22.16</v>
      </c>
      <c r="I4" s="73">
        <v>25.36</v>
      </c>
      <c r="J4" s="7" t="s">
        <v>8</v>
      </c>
      <c r="K4" s="73">
        <v>7.57</v>
      </c>
      <c r="L4" s="73">
        <v>6.49</v>
      </c>
      <c r="M4" s="73">
        <v>5.19</v>
      </c>
      <c r="N4" s="73">
        <v>5.14</v>
      </c>
      <c r="O4" s="73">
        <v>5.23</v>
      </c>
      <c r="P4" s="73">
        <v>6.14</v>
      </c>
      <c r="Q4" s="73">
        <v>6.14</v>
      </c>
      <c r="R4" s="73">
        <v>7.33</v>
      </c>
      <c r="S4" s="4"/>
      <c r="T4" s="4"/>
      <c r="U4" s="4"/>
      <c r="V4" s="4"/>
      <c r="W4" s="4"/>
      <c r="X4" s="4"/>
      <c r="Y4" s="4"/>
      <c r="Z4" s="4"/>
      <c r="AA4" s="102"/>
      <c r="AB4" s="103"/>
      <c r="AC4" s="103"/>
      <c r="AD4" s="103"/>
      <c r="AE4" s="103"/>
      <c r="AF4" s="102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</row>
    <row r="5" spans="1:43">
      <c r="A5" s="10" t="s">
        <v>348</v>
      </c>
      <c r="B5" s="11">
        <v>5.18</v>
      </c>
      <c r="C5" s="11">
        <v>6.24</v>
      </c>
      <c r="D5" s="11">
        <v>3.45</v>
      </c>
      <c r="E5" s="11">
        <v>3.86</v>
      </c>
      <c r="F5" s="11">
        <v>4.1399999999999997</v>
      </c>
      <c r="G5" s="11">
        <v>4.93</v>
      </c>
      <c r="H5" s="11">
        <v>3.79</v>
      </c>
      <c r="I5" s="11">
        <v>3.97</v>
      </c>
      <c r="J5" s="12" t="s">
        <v>9</v>
      </c>
      <c r="K5" s="13">
        <v>1.9</v>
      </c>
      <c r="L5" s="13">
        <v>1.61</v>
      </c>
      <c r="M5" s="13">
        <v>1.29</v>
      </c>
      <c r="N5" s="13">
        <v>1.22</v>
      </c>
      <c r="O5" s="13">
        <v>1.17</v>
      </c>
      <c r="P5" s="13">
        <v>1.39</v>
      </c>
      <c r="Q5" s="13">
        <v>1.4</v>
      </c>
      <c r="R5" s="13">
        <v>1.57</v>
      </c>
      <c r="S5" s="4"/>
      <c r="T5" s="4"/>
      <c r="U5" s="4"/>
      <c r="V5" s="4"/>
      <c r="W5" s="4"/>
      <c r="X5" s="4"/>
      <c r="Y5" s="4"/>
      <c r="Z5" s="4"/>
      <c r="AA5" s="102"/>
      <c r="AB5" s="104"/>
      <c r="AC5" s="104" t="s">
        <v>268</v>
      </c>
      <c r="AD5" s="104"/>
      <c r="AE5" s="104"/>
      <c r="AF5" s="102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</row>
    <row r="6" spans="1:43">
      <c r="A6" s="7" t="s">
        <v>349</v>
      </c>
      <c r="B6" s="14">
        <v>2.9994807099999998</v>
      </c>
      <c r="C6" s="14">
        <v>2.9995132600000001</v>
      </c>
      <c r="D6" s="14">
        <v>2.99973242</v>
      </c>
      <c r="E6" s="14">
        <v>2.9998924100000002</v>
      </c>
      <c r="F6" s="14">
        <v>3.0250699999999999</v>
      </c>
      <c r="G6" s="14">
        <v>2.9994999999999998</v>
      </c>
      <c r="H6" s="14">
        <v>2.4990999999999999</v>
      </c>
      <c r="I6" s="14">
        <v>1.9998</v>
      </c>
      <c r="J6" s="7" t="s">
        <v>12</v>
      </c>
      <c r="K6" s="21">
        <v>-71</v>
      </c>
      <c r="L6" s="21">
        <v>-19</v>
      </c>
      <c r="M6" s="21">
        <v>-2151</v>
      </c>
      <c r="N6" s="21">
        <v>-4656</v>
      </c>
      <c r="O6" s="21">
        <v>-2223</v>
      </c>
      <c r="P6" s="21">
        <v>-88</v>
      </c>
      <c r="Q6" s="21">
        <v>-423</v>
      </c>
      <c r="R6" s="21">
        <v>-137</v>
      </c>
      <c r="S6" s="4"/>
      <c r="T6" s="4"/>
      <c r="U6" s="4"/>
      <c r="V6" s="4"/>
      <c r="W6" s="4"/>
      <c r="X6" s="4"/>
      <c r="Y6" s="4"/>
      <c r="Z6" s="4"/>
      <c r="AA6" s="102"/>
      <c r="AB6" s="105" t="s">
        <v>263</v>
      </c>
      <c r="AC6" s="106">
        <v>49282571</v>
      </c>
      <c r="AD6" s="107">
        <v>0.151</v>
      </c>
      <c r="AE6" s="106">
        <v>37246661</v>
      </c>
      <c r="AF6" s="102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</row>
    <row r="7" spans="1:43">
      <c r="A7" s="10" t="s">
        <v>350</v>
      </c>
      <c r="B7" s="16">
        <v>0</v>
      </c>
      <c r="C7" s="16">
        <v>0</v>
      </c>
      <c r="D7" s="16">
        <v>0</v>
      </c>
      <c r="E7" s="16">
        <v>4.9998207000000003E-2</v>
      </c>
      <c r="F7" s="16">
        <v>5.042E-2</v>
      </c>
      <c r="G7" s="16">
        <v>0.05</v>
      </c>
      <c r="H7" s="16">
        <v>0.2999</v>
      </c>
      <c r="I7" s="16">
        <v>0.49997000000000003</v>
      </c>
      <c r="J7" s="12" t="s">
        <v>14</v>
      </c>
      <c r="K7" s="20">
        <v>-2376</v>
      </c>
      <c r="L7" s="20">
        <v>-2852</v>
      </c>
      <c r="M7" s="20">
        <v>-2723</v>
      </c>
      <c r="N7" s="20">
        <v>409</v>
      </c>
      <c r="O7" s="20">
        <v>5142</v>
      </c>
      <c r="P7" s="20">
        <v>489</v>
      </c>
      <c r="Q7" s="20">
        <v>-3247</v>
      </c>
      <c r="R7" s="20">
        <v>-1873</v>
      </c>
      <c r="S7" s="4"/>
      <c r="T7" s="4"/>
      <c r="U7" s="4"/>
      <c r="V7" s="4"/>
      <c r="W7" s="4"/>
      <c r="X7" s="4"/>
      <c r="Y7" s="4"/>
      <c r="Z7" s="4"/>
      <c r="AA7" s="102"/>
      <c r="AB7" s="105" t="s">
        <v>258</v>
      </c>
      <c r="AC7" s="106">
        <v>42816800</v>
      </c>
      <c r="AD7" s="107">
        <v>-0.12429999999999999</v>
      </c>
      <c r="AE7" s="106">
        <v>32860849</v>
      </c>
      <c r="AF7" s="102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</row>
    <row r="8" spans="1:43">
      <c r="A8" s="7" t="s">
        <v>351</v>
      </c>
      <c r="B8" s="18">
        <v>0.57905032999999995</v>
      </c>
      <c r="C8" s="18">
        <v>0.48069122800000003</v>
      </c>
      <c r="D8" s="18">
        <v>0.86948765800000005</v>
      </c>
      <c r="E8" s="18">
        <v>0.77717419899999995</v>
      </c>
      <c r="F8" s="18">
        <v>0.730693237</v>
      </c>
      <c r="G8" s="18">
        <v>0.60841785000000004</v>
      </c>
      <c r="H8" s="18">
        <v>0.65939314000000004</v>
      </c>
      <c r="I8" s="18">
        <v>0.50372795999999997</v>
      </c>
      <c r="J8" s="7" t="s">
        <v>16</v>
      </c>
      <c r="K8" s="21">
        <v>-4228</v>
      </c>
      <c r="L8" s="21">
        <v>-7033</v>
      </c>
      <c r="M8" s="21">
        <v>-6976</v>
      </c>
      <c r="N8" s="21">
        <v>4875</v>
      </c>
      <c r="O8" s="21">
        <v>896</v>
      </c>
      <c r="P8" s="21">
        <v>-391</v>
      </c>
      <c r="Q8" s="21">
        <v>-4524</v>
      </c>
      <c r="R8" s="21">
        <v>5197</v>
      </c>
      <c r="S8" s="4"/>
      <c r="T8" s="4"/>
      <c r="U8" s="4"/>
      <c r="V8" s="4"/>
      <c r="W8" s="4"/>
      <c r="X8" s="4"/>
      <c r="Y8" s="4"/>
      <c r="Z8" s="4"/>
      <c r="AA8" s="102"/>
      <c r="AB8" s="105" t="s">
        <v>241</v>
      </c>
      <c r="AC8" s="106">
        <v>48896013</v>
      </c>
      <c r="AD8" s="107">
        <v>2.0299999999999999E-2</v>
      </c>
      <c r="AE8" s="106">
        <v>37041705</v>
      </c>
      <c r="AF8" s="102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</row>
    <row r="9" spans="1:43">
      <c r="A9" s="10" t="s">
        <v>17</v>
      </c>
      <c r="B9" s="1">
        <v>0.46461645099999999</v>
      </c>
      <c r="C9" s="1">
        <v>0.25907034299999998</v>
      </c>
      <c r="D9" s="1">
        <v>0.184262869</v>
      </c>
      <c r="E9" s="1">
        <v>9.8206868000000003E-2</v>
      </c>
      <c r="F9" s="1"/>
      <c r="G9" s="1"/>
      <c r="H9" s="1"/>
      <c r="I9" s="1"/>
      <c r="J9" s="12" t="s">
        <v>18</v>
      </c>
      <c r="K9" s="20">
        <v>-347</v>
      </c>
      <c r="L9" s="20">
        <v>1434</v>
      </c>
      <c r="M9" s="20">
        <v>2512</v>
      </c>
      <c r="N9" s="20">
        <v>1251</v>
      </c>
      <c r="O9" s="20">
        <v>-2260</v>
      </c>
      <c r="P9" s="20">
        <v>124</v>
      </c>
      <c r="Q9" s="20">
        <v>266</v>
      </c>
      <c r="R9" s="20">
        <v>37</v>
      </c>
      <c r="S9" s="4"/>
      <c r="T9" s="4"/>
      <c r="U9" s="4"/>
      <c r="V9" s="4"/>
      <c r="W9" s="4"/>
      <c r="X9" s="4"/>
      <c r="Y9" s="4"/>
      <c r="Z9" s="4"/>
      <c r="AA9" s="102"/>
      <c r="AB9" s="105" t="s">
        <v>242</v>
      </c>
      <c r="AC9" s="106">
        <v>47924170</v>
      </c>
      <c r="AD9" s="107">
        <v>0.1179</v>
      </c>
      <c r="AE9" s="106">
        <v>34916788</v>
      </c>
      <c r="AF9" s="102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</row>
    <row r="10" spans="1:43">
      <c r="A10" s="7" t="s">
        <v>352</v>
      </c>
      <c r="B10" s="14">
        <v>24.29</v>
      </c>
      <c r="C10" s="14">
        <v>22.16</v>
      </c>
      <c r="D10" s="14">
        <v>19.11</v>
      </c>
      <c r="E10" s="14">
        <v>18.59</v>
      </c>
      <c r="F10" s="14">
        <v>19.03</v>
      </c>
      <c r="G10" s="14">
        <v>19.690000000000001</v>
      </c>
      <c r="H10" s="14">
        <v>18.04</v>
      </c>
      <c r="I10" s="14">
        <v>17.190000000000001</v>
      </c>
      <c r="J10" s="7" t="s">
        <v>19</v>
      </c>
      <c r="K10" s="14">
        <v>26.02</v>
      </c>
      <c r="L10" s="14">
        <v>24.21</v>
      </c>
      <c r="M10" s="14">
        <v>25.5</v>
      </c>
      <c r="N10" s="14">
        <v>24.29</v>
      </c>
      <c r="O10" s="14">
        <v>23.1</v>
      </c>
      <c r="P10" s="14">
        <v>21.76</v>
      </c>
      <c r="Q10" s="14">
        <v>23.45</v>
      </c>
      <c r="R10" s="14">
        <v>22.16</v>
      </c>
      <c r="S10" s="4"/>
      <c r="T10" s="4"/>
      <c r="U10" s="4"/>
      <c r="V10" s="4"/>
      <c r="W10" s="4"/>
      <c r="X10" s="4"/>
      <c r="Y10" s="4"/>
      <c r="Z10" s="4"/>
      <c r="AA10" s="102"/>
      <c r="AB10" s="105" t="s">
        <v>236</v>
      </c>
      <c r="AC10" s="106">
        <v>42869733</v>
      </c>
      <c r="AD10" s="107">
        <v>-1.7299999999999999E-2</v>
      </c>
      <c r="AE10" s="106">
        <v>35653939</v>
      </c>
      <c r="AF10" s="102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</row>
    <row r="11" spans="1:43">
      <c r="A11" s="130" t="s">
        <v>20</v>
      </c>
      <c r="B11" s="19">
        <v>418245</v>
      </c>
      <c r="C11" s="19">
        <v>406963</v>
      </c>
      <c r="D11" s="19">
        <v>285743</v>
      </c>
      <c r="E11" s="19">
        <v>321767</v>
      </c>
      <c r="F11" s="19">
        <v>313648</v>
      </c>
      <c r="G11" s="19">
        <v>313882</v>
      </c>
      <c r="H11" s="19">
        <v>264588</v>
      </c>
      <c r="I11" s="19">
        <v>255992</v>
      </c>
      <c r="J11" s="12" t="s">
        <v>20</v>
      </c>
      <c r="K11" s="20">
        <v>139637</v>
      </c>
      <c r="L11" s="20">
        <v>126501</v>
      </c>
      <c r="M11" s="20">
        <v>104249</v>
      </c>
      <c r="N11" s="20">
        <v>103032</v>
      </c>
      <c r="O11" s="20">
        <v>104819</v>
      </c>
      <c r="P11" s="20">
        <v>107845</v>
      </c>
      <c r="Q11" s="20">
        <v>102548</v>
      </c>
      <c r="R11" s="20">
        <v>106846</v>
      </c>
      <c r="S11" s="4"/>
      <c r="T11" s="4"/>
      <c r="U11" s="4"/>
      <c r="V11" s="4"/>
      <c r="W11" s="4"/>
      <c r="X11" s="4"/>
      <c r="Y11" s="4"/>
      <c r="Z11" s="4"/>
      <c r="AA11" s="102"/>
      <c r="AB11" s="105" t="s">
        <v>234</v>
      </c>
      <c r="AC11" s="106">
        <v>43623222</v>
      </c>
      <c r="AD11" s="107">
        <v>9.0399999999999994E-2</v>
      </c>
      <c r="AE11" s="106">
        <v>35960997</v>
      </c>
      <c r="AF11" s="102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</row>
    <row r="12" spans="1:43">
      <c r="A12" s="131" t="s">
        <v>21</v>
      </c>
      <c r="B12" s="21">
        <v>233083</v>
      </c>
      <c r="C12" s="21">
        <v>209921</v>
      </c>
      <c r="D12" s="21">
        <v>159107</v>
      </c>
      <c r="E12" s="21">
        <v>183590</v>
      </c>
      <c r="F12" s="21">
        <v>176223</v>
      </c>
      <c r="G12" s="21">
        <v>164163</v>
      </c>
      <c r="H12" s="21">
        <v>149344</v>
      </c>
      <c r="I12" s="21">
        <v>145832</v>
      </c>
      <c r="J12" s="7" t="s">
        <v>21</v>
      </c>
      <c r="K12" s="21">
        <v>73471</v>
      </c>
      <c r="L12" s="21">
        <v>66185</v>
      </c>
      <c r="M12" s="21">
        <v>55753</v>
      </c>
      <c r="N12" s="21">
        <v>57846</v>
      </c>
      <c r="O12" s="21">
        <v>61972</v>
      </c>
      <c r="P12" s="21">
        <v>59776</v>
      </c>
      <c r="Q12" s="21">
        <v>53490</v>
      </c>
      <c r="R12" s="21">
        <v>55137</v>
      </c>
      <c r="S12" s="4"/>
      <c r="T12" s="4"/>
      <c r="U12" s="4"/>
      <c r="V12" s="4"/>
      <c r="W12" s="4"/>
      <c r="X12" s="4"/>
      <c r="Y12" s="4"/>
      <c r="Z12" s="4"/>
      <c r="AA12" s="102"/>
      <c r="AB12" s="105" t="s">
        <v>230</v>
      </c>
      <c r="AC12" s="106">
        <v>40007591</v>
      </c>
      <c r="AD12" s="107">
        <v>9.2799999999999994E-2</v>
      </c>
      <c r="AE12" s="106">
        <v>36230359</v>
      </c>
      <c r="AF12" s="102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</row>
    <row r="13" spans="1:43">
      <c r="A13" s="130" t="s">
        <v>22</v>
      </c>
      <c r="B13" s="19">
        <v>185162</v>
      </c>
      <c r="C13" s="19">
        <v>197042</v>
      </c>
      <c r="D13" s="19">
        <v>126636</v>
      </c>
      <c r="E13" s="19">
        <v>138178</v>
      </c>
      <c r="F13" s="19">
        <v>137424</v>
      </c>
      <c r="G13" s="19">
        <v>149718</v>
      </c>
      <c r="H13" s="19">
        <v>115244</v>
      </c>
      <c r="I13" s="19">
        <v>110161</v>
      </c>
      <c r="J13" s="12" t="s">
        <v>22</v>
      </c>
      <c r="K13" s="20">
        <v>66166</v>
      </c>
      <c r="L13" s="20">
        <v>60315</v>
      </c>
      <c r="M13" s="20">
        <v>48496</v>
      </c>
      <c r="N13" s="20">
        <v>45187</v>
      </c>
      <c r="O13" s="20">
        <v>42848</v>
      </c>
      <c r="P13" s="20">
        <v>48070</v>
      </c>
      <c r="Q13" s="20">
        <v>49059</v>
      </c>
      <c r="R13" s="20">
        <v>51709</v>
      </c>
      <c r="S13" s="4"/>
      <c r="T13" s="4"/>
      <c r="U13" s="4"/>
      <c r="V13" s="4"/>
      <c r="W13" s="4"/>
      <c r="X13" s="4"/>
      <c r="Y13" s="4"/>
      <c r="Z13" s="4"/>
      <c r="AA13" s="102"/>
      <c r="AB13" s="105" t="s">
        <v>231</v>
      </c>
      <c r="AC13" s="106">
        <v>36611146</v>
      </c>
      <c r="AD13" s="107">
        <v>9.01E-2</v>
      </c>
      <c r="AE13" s="106">
        <v>36370479</v>
      </c>
      <c r="AF13" s="102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</row>
    <row r="14" spans="1:43">
      <c r="A14" s="131" t="s">
        <v>23</v>
      </c>
      <c r="B14" s="15">
        <v>398</v>
      </c>
      <c r="C14" s="15">
        <v>-53</v>
      </c>
      <c r="D14" s="15">
        <v>-160</v>
      </c>
      <c r="E14" s="15">
        <v>0</v>
      </c>
      <c r="F14" s="15">
        <v>-265</v>
      </c>
      <c r="G14" s="15">
        <v>0</v>
      </c>
      <c r="H14" s="15">
        <v>0</v>
      </c>
      <c r="I14" s="15">
        <v>0</v>
      </c>
      <c r="J14" s="7" t="s">
        <v>23</v>
      </c>
      <c r="K14" s="15">
        <v>10</v>
      </c>
      <c r="L14" s="15">
        <v>-214</v>
      </c>
      <c r="M14" s="15">
        <v>74</v>
      </c>
      <c r="N14" s="15">
        <v>52</v>
      </c>
      <c r="O14" s="15">
        <v>97</v>
      </c>
      <c r="P14" s="15">
        <v>193</v>
      </c>
      <c r="Q14" s="15">
        <v>56</v>
      </c>
      <c r="R14" s="15">
        <v>84</v>
      </c>
      <c r="S14" s="4"/>
      <c r="T14" s="4"/>
      <c r="U14" s="4"/>
      <c r="V14" s="4"/>
      <c r="W14" s="4"/>
      <c r="X14" s="4"/>
      <c r="Y14" s="4"/>
      <c r="Z14" s="4"/>
      <c r="AA14" s="102"/>
      <c r="AB14" s="105" t="s">
        <v>232</v>
      </c>
      <c r="AC14" s="106">
        <v>33584499</v>
      </c>
      <c r="AD14" s="107">
        <v>-1.38E-2</v>
      </c>
      <c r="AE14" s="106">
        <v>31753825</v>
      </c>
      <c r="AF14" s="102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</row>
    <row r="15" spans="1:43">
      <c r="A15" s="130" t="s">
        <v>24</v>
      </c>
      <c r="B15" s="19">
        <v>46655</v>
      </c>
      <c r="C15" s="19">
        <v>42143</v>
      </c>
      <c r="D15" s="19">
        <v>31954</v>
      </c>
      <c r="E15" s="19">
        <v>31887</v>
      </c>
      <c r="F15" s="19">
        <v>24907</v>
      </c>
      <c r="G15" s="19">
        <v>23419</v>
      </c>
      <c r="H15" s="19">
        <v>22230</v>
      </c>
      <c r="I15" s="19">
        <v>23338</v>
      </c>
      <c r="J15" s="12" t="s">
        <v>24</v>
      </c>
      <c r="K15" s="20">
        <v>15106</v>
      </c>
      <c r="L15" s="20">
        <v>14380</v>
      </c>
      <c r="M15" s="20">
        <v>13530</v>
      </c>
      <c r="N15" s="20">
        <v>12420</v>
      </c>
      <c r="O15" s="20">
        <v>11711</v>
      </c>
      <c r="P15" s="20">
        <v>11560</v>
      </c>
      <c r="Q15" s="20">
        <v>10964</v>
      </c>
      <c r="R15" s="20">
        <v>11715</v>
      </c>
      <c r="S15" s="4"/>
      <c r="T15" s="4"/>
      <c r="U15" s="4"/>
      <c r="V15" s="4"/>
      <c r="W15" s="4"/>
      <c r="X15" s="4"/>
      <c r="Y15" s="4"/>
      <c r="Z15" s="4"/>
      <c r="AA15" s="102"/>
      <c r="AB15" s="105" t="s">
        <v>233</v>
      </c>
      <c r="AC15" s="106">
        <v>34053091</v>
      </c>
      <c r="AD15" s="107">
        <v>0.114</v>
      </c>
      <c r="AE15" s="106">
        <v>34424173</v>
      </c>
      <c r="AF15" s="102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</row>
    <row r="16" spans="1:43">
      <c r="A16" s="131" t="s">
        <v>25</v>
      </c>
      <c r="B16" s="21">
        <v>138906</v>
      </c>
      <c r="C16" s="21">
        <v>154847</v>
      </c>
      <c r="D16" s="21">
        <v>94522</v>
      </c>
      <c r="E16" s="21">
        <v>106290</v>
      </c>
      <c r="F16" s="21">
        <v>112252</v>
      </c>
      <c r="G16" s="21">
        <v>126300</v>
      </c>
      <c r="H16" s="21">
        <v>93014</v>
      </c>
      <c r="I16" s="21">
        <v>86823</v>
      </c>
      <c r="J16" s="7" t="s">
        <v>25</v>
      </c>
      <c r="K16" s="21">
        <v>51070</v>
      </c>
      <c r="L16" s="21">
        <v>45721</v>
      </c>
      <c r="M16" s="21">
        <v>35040</v>
      </c>
      <c r="N16" s="21">
        <v>32818</v>
      </c>
      <c r="O16" s="21">
        <v>31234</v>
      </c>
      <c r="P16" s="21">
        <v>36703</v>
      </c>
      <c r="Q16" s="21">
        <v>38151</v>
      </c>
      <c r="R16" s="21">
        <v>40078</v>
      </c>
      <c r="S16" s="4"/>
      <c r="T16" s="4"/>
      <c r="U16" s="4"/>
      <c r="V16" s="4"/>
      <c r="W16" s="4"/>
      <c r="X16" s="4"/>
      <c r="Y16" s="4"/>
      <c r="Z16" s="4"/>
      <c r="AA16" s="102"/>
      <c r="AB16" s="105" t="s">
        <v>227</v>
      </c>
      <c r="AC16" s="106">
        <v>30566947</v>
      </c>
      <c r="AD16" s="107">
        <v>-0.1321</v>
      </c>
      <c r="AE16" s="106">
        <v>33751175</v>
      </c>
      <c r="AF16" s="102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</row>
    <row r="17" spans="1:43">
      <c r="A17" s="130" t="s">
        <v>26</v>
      </c>
      <c r="B17" s="19">
        <v>697</v>
      </c>
      <c r="C17" s="19">
        <v>764</v>
      </c>
      <c r="D17" s="19">
        <v>1117</v>
      </c>
      <c r="E17" s="19">
        <v>2729</v>
      </c>
      <c r="F17" s="19">
        <v>2635</v>
      </c>
      <c r="G17" s="19">
        <v>3383</v>
      </c>
      <c r="H17" s="19">
        <v>2770</v>
      </c>
      <c r="I17" s="19">
        <v>1762</v>
      </c>
      <c r="J17" s="12" t="s">
        <v>26</v>
      </c>
      <c r="K17" s="20">
        <v>162</v>
      </c>
      <c r="L17" s="20">
        <v>231</v>
      </c>
      <c r="M17" s="20">
        <v>234</v>
      </c>
      <c r="N17" s="20">
        <v>185</v>
      </c>
      <c r="O17" s="20">
        <v>110</v>
      </c>
      <c r="P17" s="20">
        <v>253</v>
      </c>
      <c r="Q17" s="20">
        <v>149</v>
      </c>
      <c r="R17" s="20">
        <v>209</v>
      </c>
      <c r="S17" s="4"/>
      <c r="T17" s="4"/>
      <c r="U17" s="4"/>
      <c r="V17" s="4"/>
      <c r="W17" s="4"/>
      <c r="X17" s="4"/>
      <c r="Y17" s="4"/>
      <c r="Z17" s="4"/>
      <c r="AA17" s="102"/>
      <c r="AB17" s="108" t="s">
        <v>214</v>
      </c>
      <c r="AC17" s="106">
        <v>35218771</v>
      </c>
      <c r="AD17" s="107">
        <v>-5.4399999999999997E-2</v>
      </c>
      <c r="AE17" s="106">
        <v>35722299</v>
      </c>
      <c r="AF17" s="102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</row>
    <row r="18" spans="1:43">
      <c r="A18" s="131" t="s">
        <v>27</v>
      </c>
      <c r="B18" s="21">
        <v>3778</v>
      </c>
      <c r="C18" s="21">
        <v>7111</v>
      </c>
      <c r="D18" s="21">
        <v>0</v>
      </c>
      <c r="E18" s="21">
        <v>73</v>
      </c>
      <c r="F18" s="21">
        <v>5468</v>
      </c>
      <c r="G18" s="21">
        <v>5527</v>
      </c>
      <c r="H18" s="21">
        <v>0</v>
      </c>
      <c r="I18" s="21">
        <v>4040</v>
      </c>
      <c r="J18" s="7" t="s">
        <v>27</v>
      </c>
      <c r="K18" s="21">
        <v>2328</v>
      </c>
      <c r="L18" s="21">
        <v>4098</v>
      </c>
      <c r="M18" s="21">
        <v>985</v>
      </c>
      <c r="N18" s="21">
        <v>246</v>
      </c>
      <c r="O18" s="21">
        <v>617</v>
      </c>
      <c r="P18" s="21">
        <v>1338</v>
      </c>
      <c r="Q18" s="21">
        <v>1577</v>
      </c>
      <c r="R18" s="21">
        <v>2434</v>
      </c>
      <c r="S18" s="4"/>
      <c r="T18" s="4"/>
      <c r="U18" s="4"/>
      <c r="V18" s="4"/>
      <c r="W18" s="4"/>
      <c r="X18" s="4"/>
      <c r="Y18" s="4"/>
      <c r="Z18" s="4"/>
      <c r="AA18" s="102"/>
      <c r="AB18" s="108" t="s">
        <v>215</v>
      </c>
      <c r="AC18" s="106">
        <v>37246661</v>
      </c>
      <c r="AD18" s="107">
        <v>0.13350000000000001</v>
      </c>
      <c r="AE18" s="106">
        <v>37372507</v>
      </c>
      <c r="AF18" s="102"/>
      <c r="AG18" s="66"/>
      <c r="AH18" s="66"/>
      <c r="AI18" s="66"/>
      <c r="AJ18" s="66"/>
      <c r="AK18" s="66"/>
      <c r="AL18" s="66"/>
      <c r="AM18" s="66"/>
      <c r="AN18" s="66"/>
      <c r="AO18" s="66"/>
      <c r="AP18" s="66"/>
      <c r="AQ18" s="66"/>
    </row>
    <row r="19" spans="1:43" ht="18.75">
      <c r="A19" s="130" t="s">
        <v>28</v>
      </c>
      <c r="B19" s="19">
        <v>0</v>
      </c>
      <c r="C19" s="19">
        <v>0</v>
      </c>
      <c r="D19" s="19">
        <v>53</v>
      </c>
      <c r="E19" s="19">
        <v>452</v>
      </c>
      <c r="F19" s="19">
        <v>271</v>
      </c>
      <c r="G19" s="19">
        <v>0</v>
      </c>
      <c r="H19" s="19">
        <v>0</v>
      </c>
      <c r="I19" s="19">
        <v>90</v>
      </c>
      <c r="J19" s="12" t="s">
        <v>28</v>
      </c>
      <c r="K19" s="20">
        <v>0</v>
      </c>
      <c r="L19" s="20">
        <v>0</v>
      </c>
      <c r="M19" s="20">
        <v>0</v>
      </c>
      <c r="N19" s="20">
        <v>0</v>
      </c>
      <c r="O19" s="20">
        <v>0</v>
      </c>
      <c r="P19" s="20">
        <v>0</v>
      </c>
      <c r="Q19" s="20">
        <v>0</v>
      </c>
      <c r="R19" s="20">
        <v>0</v>
      </c>
      <c r="S19" s="4"/>
      <c r="T19" s="167">
        <v>2330</v>
      </c>
      <c r="U19" s="168"/>
      <c r="V19" s="163" t="s">
        <v>254</v>
      </c>
      <c r="W19" s="164"/>
      <c r="X19" s="4"/>
      <c r="Y19" s="4"/>
      <c r="Z19" s="4"/>
      <c r="AA19" s="102"/>
      <c r="AB19" s="108" t="s">
        <v>216</v>
      </c>
      <c r="AC19" s="106">
        <v>32860849</v>
      </c>
      <c r="AD19" s="107">
        <v>-0.1129</v>
      </c>
      <c r="AE19" s="106">
        <v>36652584</v>
      </c>
      <c r="AF19" s="102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</row>
    <row r="20" spans="1:43">
      <c r="A20" s="131" t="s">
        <v>29</v>
      </c>
      <c r="B20" s="21">
        <v>801</v>
      </c>
      <c r="C20" s="21">
        <v>313</v>
      </c>
      <c r="D20" s="21">
        <v>587</v>
      </c>
      <c r="E20" s="21">
        <v>0</v>
      </c>
      <c r="F20" s="21">
        <v>0</v>
      </c>
      <c r="G20" s="21">
        <v>34</v>
      </c>
      <c r="H20" s="21">
        <v>0</v>
      </c>
      <c r="I20" s="21">
        <v>0</v>
      </c>
      <c r="J20" s="7" t="s">
        <v>29</v>
      </c>
      <c r="K20" s="21">
        <v>117</v>
      </c>
      <c r="L20" s="21">
        <v>0</v>
      </c>
      <c r="M20" s="21">
        <v>0</v>
      </c>
      <c r="N20" s="21">
        <v>18</v>
      </c>
      <c r="O20" s="21">
        <v>783</v>
      </c>
      <c r="P20" s="21">
        <v>0</v>
      </c>
      <c r="Q20" s="21">
        <v>0</v>
      </c>
      <c r="R20" s="21">
        <v>157</v>
      </c>
      <c r="S20" s="4"/>
      <c r="T20" s="22" t="s">
        <v>34</v>
      </c>
      <c r="U20" s="77">
        <v>30564</v>
      </c>
      <c r="V20" s="22" t="s">
        <v>35</v>
      </c>
      <c r="W20" s="22">
        <v>2592.0700000000002</v>
      </c>
      <c r="X20" s="4"/>
      <c r="Y20" s="4"/>
      <c r="Z20" s="4"/>
      <c r="AA20" s="102"/>
      <c r="AB20" s="108" t="s">
        <v>217</v>
      </c>
      <c r="AC20" s="106">
        <v>37041705</v>
      </c>
      <c r="AD20" s="107">
        <v>6.0900000000000003E-2</v>
      </c>
      <c r="AE20" s="106">
        <v>36498090</v>
      </c>
      <c r="AF20" s="102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</row>
    <row r="21" spans="1:43">
      <c r="A21" s="130" t="s">
        <v>30</v>
      </c>
      <c r="B21" s="19">
        <v>0</v>
      </c>
      <c r="C21" s="19">
        <v>0</v>
      </c>
      <c r="D21" s="19">
        <v>0</v>
      </c>
      <c r="E21" s="19">
        <v>299</v>
      </c>
      <c r="F21" s="19">
        <v>305</v>
      </c>
      <c r="G21" s="19">
        <v>596</v>
      </c>
      <c r="H21" s="19">
        <v>494</v>
      </c>
      <c r="I21" s="19">
        <v>164</v>
      </c>
      <c r="J21" s="12" t="s">
        <v>30</v>
      </c>
      <c r="K21" s="20">
        <v>0</v>
      </c>
      <c r="L21" s="20">
        <v>0</v>
      </c>
      <c r="M21" s="20">
        <v>0</v>
      </c>
      <c r="N21" s="20">
        <v>0</v>
      </c>
      <c r="O21" s="20">
        <v>0</v>
      </c>
      <c r="P21" s="20">
        <v>0</v>
      </c>
      <c r="Q21" s="20">
        <v>0</v>
      </c>
      <c r="R21" s="20">
        <v>0</v>
      </c>
      <c r="S21" s="4"/>
      <c r="T21" s="23" t="s">
        <v>37</v>
      </c>
      <c r="U21" s="23">
        <v>7.1224851000000006E-2</v>
      </c>
      <c r="V21" s="23" t="s">
        <v>38</v>
      </c>
      <c r="W21" s="80">
        <v>18481.4591</v>
      </c>
      <c r="X21" s="4"/>
      <c r="Y21" s="4"/>
      <c r="Z21" s="4"/>
      <c r="AA21" s="102"/>
      <c r="AB21" s="108" t="s">
        <v>218</v>
      </c>
      <c r="AC21" s="106">
        <v>34916788</v>
      </c>
      <c r="AD21" s="107">
        <v>-2.07E-2</v>
      </c>
      <c r="AE21" s="106">
        <v>36156392</v>
      </c>
      <c r="AF21" s="102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</row>
    <row r="22" spans="1:43">
      <c r="A22" s="131" t="s">
        <v>31</v>
      </c>
      <c r="B22" s="21">
        <v>0</v>
      </c>
      <c r="C22" s="21">
        <v>0</v>
      </c>
      <c r="D22" s="21">
        <v>0</v>
      </c>
      <c r="E22" s="21">
        <v>0</v>
      </c>
      <c r="F22" s="21">
        <v>0</v>
      </c>
      <c r="G22" s="21">
        <v>0</v>
      </c>
      <c r="H22" s="21">
        <v>0</v>
      </c>
      <c r="I22" s="21">
        <v>0</v>
      </c>
      <c r="J22" s="7" t="s">
        <v>31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>
        <v>0</v>
      </c>
      <c r="R22" s="21">
        <v>0</v>
      </c>
      <c r="S22" s="4"/>
      <c r="T22" s="22" t="s">
        <v>40</v>
      </c>
      <c r="U22" s="81">
        <v>0.775953852</v>
      </c>
      <c r="V22" s="22" t="s">
        <v>41</v>
      </c>
      <c r="W22" s="81">
        <v>0.48820000000000002</v>
      </c>
      <c r="X22" s="4"/>
      <c r="Y22" s="4"/>
      <c r="Z22" s="4"/>
      <c r="AA22" s="102"/>
      <c r="AB22" s="108" t="s">
        <v>219</v>
      </c>
      <c r="AC22" s="106">
        <v>35653939</v>
      </c>
      <c r="AD22" s="107">
        <v>-8.5000000000000006E-3</v>
      </c>
      <c r="AE22" s="106">
        <v>35113042</v>
      </c>
      <c r="AF22" s="102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</row>
    <row r="23" spans="1:43" ht="18.75" customHeight="1">
      <c r="A23" s="130" t="s">
        <v>32</v>
      </c>
      <c r="B23" s="19">
        <v>0</v>
      </c>
      <c r="C23" s="19">
        <v>0</v>
      </c>
      <c r="D23" s="19">
        <v>0</v>
      </c>
      <c r="E23" s="19">
        <v>1113</v>
      </c>
      <c r="F23" s="19">
        <v>71</v>
      </c>
      <c r="G23" s="19">
        <v>0</v>
      </c>
      <c r="H23" s="19">
        <v>0</v>
      </c>
      <c r="I23" s="19">
        <v>0</v>
      </c>
      <c r="J23" s="12" t="s">
        <v>32</v>
      </c>
      <c r="K23" s="20">
        <v>-214</v>
      </c>
      <c r="L23" s="20">
        <v>-32</v>
      </c>
      <c r="M23" s="20">
        <v>246</v>
      </c>
      <c r="N23" s="20">
        <v>0</v>
      </c>
      <c r="O23" s="20">
        <v>-322</v>
      </c>
      <c r="P23" s="20">
        <v>-58</v>
      </c>
      <c r="Q23" s="20">
        <v>380</v>
      </c>
      <c r="R23" s="20">
        <v>0</v>
      </c>
      <c r="S23" s="4"/>
      <c r="T23" s="23" t="s">
        <v>43</v>
      </c>
      <c r="U23" s="80">
        <v>15.08</v>
      </c>
      <c r="V23" s="23" t="s">
        <v>44</v>
      </c>
      <c r="W23" s="23">
        <v>0.37240000000000001</v>
      </c>
      <c r="X23" s="109"/>
      <c r="Y23" s="109"/>
      <c r="Z23" s="109"/>
      <c r="AA23" s="102"/>
      <c r="AB23" s="108" t="s">
        <v>220</v>
      </c>
      <c r="AC23" s="106">
        <v>35960997</v>
      </c>
      <c r="AD23" s="107">
        <v>-7.4000000000000003E-3</v>
      </c>
      <c r="AE23" s="106">
        <v>33839484</v>
      </c>
      <c r="AF23" s="102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</row>
    <row r="24" spans="1:43">
      <c r="A24" s="131" t="s">
        <v>33</v>
      </c>
      <c r="B24" s="21">
        <v>2011</v>
      </c>
      <c r="C24" s="21">
        <v>7720</v>
      </c>
      <c r="D24" s="21">
        <v>2364</v>
      </c>
      <c r="E24" s="21">
        <v>2060</v>
      </c>
      <c r="F24" s="21">
        <v>2356</v>
      </c>
      <c r="G24" s="21">
        <v>2057</v>
      </c>
      <c r="H24" s="21">
        <v>1808</v>
      </c>
      <c r="I24" s="21">
        <v>803</v>
      </c>
      <c r="J24" s="7" t="s">
        <v>33</v>
      </c>
      <c r="K24" s="21">
        <v>188</v>
      </c>
      <c r="L24" s="21">
        <v>871</v>
      </c>
      <c r="M24" s="21">
        <v>116</v>
      </c>
      <c r="N24" s="21">
        <v>529</v>
      </c>
      <c r="O24" s="21">
        <v>363</v>
      </c>
      <c r="P24" s="21">
        <v>765</v>
      </c>
      <c r="Q24" s="21">
        <v>353</v>
      </c>
      <c r="R24" s="21">
        <v>755</v>
      </c>
      <c r="S24" s="4"/>
      <c r="T24" s="22" t="s">
        <v>46</v>
      </c>
      <c r="U24" s="22">
        <v>3.49</v>
      </c>
      <c r="V24" s="22" t="s">
        <v>47</v>
      </c>
      <c r="W24" s="22">
        <v>3692</v>
      </c>
      <c r="X24" s="109"/>
      <c r="Y24" s="109"/>
      <c r="Z24" s="109"/>
      <c r="AA24" s="102"/>
      <c r="AB24" s="108" t="s">
        <v>221</v>
      </c>
      <c r="AC24" s="106">
        <v>36230359</v>
      </c>
      <c r="AD24" s="107">
        <v>-3.8999999999999998E-3</v>
      </c>
      <c r="AE24" s="106">
        <v>32683232</v>
      </c>
      <c r="AF24" s="102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</row>
    <row r="25" spans="1:43">
      <c r="A25" s="130" t="s">
        <v>36</v>
      </c>
      <c r="B25" s="19">
        <v>7287</v>
      </c>
      <c r="C25" s="19">
        <v>15908</v>
      </c>
      <c r="D25" s="19">
        <v>4122</v>
      </c>
      <c r="E25" s="19">
        <v>6726</v>
      </c>
      <c r="F25" s="19">
        <v>11106</v>
      </c>
      <c r="G25" s="19">
        <v>11597</v>
      </c>
      <c r="H25" s="19">
        <v>5072</v>
      </c>
      <c r="I25" s="19">
        <v>6860</v>
      </c>
      <c r="J25" s="12" t="s">
        <v>36</v>
      </c>
      <c r="K25" s="20">
        <v>2581</v>
      </c>
      <c r="L25" s="20">
        <v>5168</v>
      </c>
      <c r="M25" s="20">
        <v>1580</v>
      </c>
      <c r="N25" s="20">
        <v>978</v>
      </c>
      <c r="O25" s="20">
        <v>1551</v>
      </c>
      <c r="P25" s="20">
        <v>2298</v>
      </c>
      <c r="Q25" s="20">
        <v>2460</v>
      </c>
      <c r="R25" s="20">
        <v>3555</v>
      </c>
      <c r="S25" s="4"/>
      <c r="T25" s="23" t="s">
        <v>49</v>
      </c>
      <c r="U25" s="79">
        <v>22.47</v>
      </c>
      <c r="V25" s="23" t="s">
        <v>50</v>
      </c>
      <c r="W25" s="80">
        <v>5.45</v>
      </c>
      <c r="X25" s="109"/>
      <c r="Y25" s="109"/>
      <c r="Z25" s="109"/>
      <c r="AA25" s="102"/>
      <c r="AB25" s="108" t="s">
        <v>222</v>
      </c>
      <c r="AC25" s="106">
        <v>36370479</v>
      </c>
      <c r="AD25" s="107">
        <v>0.1454</v>
      </c>
      <c r="AE25" s="106">
        <v>30823003</v>
      </c>
      <c r="AF25" s="102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</row>
    <row r="26" spans="1:43">
      <c r="A26" s="132" t="s">
        <v>39</v>
      </c>
      <c r="B26" s="21">
        <v>446</v>
      </c>
      <c r="C26" s="21">
        <v>215</v>
      </c>
      <c r="D26" s="21">
        <v>142</v>
      </c>
      <c r="E26" s="21">
        <v>355</v>
      </c>
      <c r="F26" s="21">
        <v>585</v>
      </c>
      <c r="G26" s="21">
        <v>661</v>
      </c>
      <c r="H26" s="21">
        <v>2430</v>
      </c>
      <c r="I26" s="21">
        <v>1353</v>
      </c>
      <c r="J26" s="7" t="s">
        <v>39</v>
      </c>
      <c r="K26" s="21">
        <v>258</v>
      </c>
      <c r="L26" s="21">
        <v>179</v>
      </c>
      <c r="M26" s="21">
        <v>192</v>
      </c>
      <c r="N26" s="21">
        <v>170</v>
      </c>
      <c r="O26" s="21">
        <v>130</v>
      </c>
      <c r="P26" s="21">
        <v>75</v>
      </c>
      <c r="Q26" s="21">
        <v>72</v>
      </c>
      <c r="R26" s="21">
        <v>72</v>
      </c>
      <c r="S26" s="4"/>
      <c r="T26" s="22" t="s">
        <v>52</v>
      </c>
      <c r="U26" s="22">
        <v>26.02</v>
      </c>
      <c r="V26" s="22" t="s">
        <v>53</v>
      </c>
      <c r="W26" s="81">
        <v>0.22716</v>
      </c>
      <c r="X26" s="109"/>
      <c r="Y26" s="109"/>
      <c r="Z26" s="109"/>
      <c r="AA26" s="102"/>
      <c r="AB26" s="108" t="s">
        <v>223</v>
      </c>
      <c r="AC26" s="106">
        <v>31753825</v>
      </c>
      <c r="AD26" s="107">
        <v>-7.7600000000000002E-2</v>
      </c>
      <c r="AE26" s="106">
        <v>29195234</v>
      </c>
      <c r="AF26" s="102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</row>
    <row r="27" spans="1:43" ht="17.25" thickBot="1">
      <c r="A27" s="133" t="s">
        <v>42</v>
      </c>
      <c r="B27" s="19">
        <v>0</v>
      </c>
      <c r="C27" s="19">
        <v>0</v>
      </c>
      <c r="D27" s="19">
        <v>2696</v>
      </c>
      <c r="E27" s="19">
        <v>0</v>
      </c>
      <c r="F27" s="19">
        <v>0</v>
      </c>
      <c r="G27" s="19">
        <v>0</v>
      </c>
      <c r="H27" s="19">
        <v>1052</v>
      </c>
      <c r="I27" s="19">
        <v>0</v>
      </c>
      <c r="J27" s="12" t="s">
        <v>42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0</v>
      </c>
      <c r="Q27" s="20">
        <v>0</v>
      </c>
      <c r="R27" s="20">
        <v>0</v>
      </c>
      <c r="S27" s="4"/>
      <c r="T27" s="23" t="s">
        <v>225</v>
      </c>
      <c r="U27" s="78">
        <v>71.3</v>
      </c>
      <c r="V27" s="23" t="s">
        <v>55</v>
      </c>
      <c r="W27" s="23">
        <v>0.67425241700000005</v>
      </c>
      <c r="X27" s="109"/>
      <c r="Y27" s="109"/>
      <c r="Z27" s="109"/>
      <c r="AA27" s="102"/>
      <c r="AB27" s="108" t="s">
        <v>224</v>
      </c>
      <c r="AC27" s="106">
        <v>34424173</v>
      </c>
      <c r="AD27" s="107">
        <v>1.9900000000000001E-2</v>
      </c>
      <c r="AE27" s="106">
        <v>29156271</v>
      </c>
      <c r="AF27" s="102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</row>
    <row r="28" spans="1:43" ht="17.25" thickBot="1">
      <c r="A28" s="132" t="s">
        <v>45</v>
      </c>
      <c r="B28" s="21">
        <v>0</v>
      </c>
      <c r="C28" s="21">
        <v>0</v>
      </c>
      <c r="D28" s="21">
        <v>0</v>
      </c>
      <c r="E28" s="21">
        <v>0</v>
      </c>
      <c r="F28" s="21">
        <v>0</v>
      </c>
      <c r="G28" s="21">
        <v>1624</v>
      </c>
      <c r="H28" s="21">
        <v>149</v>
      </c>
      <c r="I28" s="21">
        <v>0</v>
      </c>
      <c r="J28" s="7" t="s">
        <v>45</v>
      </c>
      <c r="K28" s="21">
        <v>0</v>
      </c>
      <c r="L28" s="21">
        <v>0</v>
      </c>
      <c r="M28" s="21">
        <v>0</v>
      </c>
      <c r="N28" s="21">
        <v>0</v>
      </c>
      <c r="O28" s="21">
        <v>0</v>
      </c>
      <c r="P28" s="21">
        <v>0</v>
      </c>
      <c r="Q28" s="21">
        <v>0</v>
      </c>
      <c r="R28" s="21">
        <v>0</v>
      </c>
      <c r="S28" s="3"/>
      <c r="T28" s="67" t="s">
        <v>57</v>
      </c>
      <c r="U28" s="60"/>
      <c r="V28" s="68" t="s">
        <v>58</v>
      </c>
      <c r="W28" s="61">
        <f>U28*U26</f>
        <v>0</v>
      </c>
      <c r="X28" s="109"/>
      <c r="Y28" s="109"/>
      <c r="Z28" s="109"/>
      <c r="AA28" s="102"/>
      <c r="AB28" s="108">
        <v>36495</v>
      </c>
      <c r="AC28" s="106">
        <v>33751175</v>
      </c>
      <c r="AD28" s="107">
        <v>-5.5199999999999999E-2</v>
      </c>
      <c r="AE28" s="106">
        <v>30466359</v>
      </c>
      <c r="AF28" s="102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</row>
    <row r="29" spans="1:43" ht="17.25" thickBot="1">
      <c r="A29" s="133" t="s">
        <v>48</v>
      </c>
      <c r="B29" s="19">
        <v>0</v>
      </c>
      <c r="C29" s="19">
        <v>0</v>
      </c>
      <c r="D29" s="19">
        <v>0</v>
      </c>
      <c r="E29" s="19">
        <v>1478</v>
      </c>
      <c r="F29" s="19">
        <v>924</v>
      </c>
      <c r="G29" s="19">
        <v>37</v>
      </c>
      <c r="H29" s="19">
        <v>337</v>
      </c>
      <c r="I29" s="19">
        <v>75</v>
      </c>
      <c r="J29" s="12" t="s">
        <v>48</v>
      </c>
      <c r="K29" s="20">
        <v>-150</v>
      </c>
      <c r="L29" s="20">
        <v>2607</v>
      </c>
      <c r="M29" s="20">
        <v>221</v>
      </c>
      <c r="N29" s="20">
        <v>0</v>
      </c>
      <c r="O29" s="20">
        <v>-197</v>
      </c>
      <c r="P29" s="20">
        <v>-60</v>
      </c>
      <c r="Q29" s="20">
        <v>257</v>
      </c>
      <c r="R29" s="20">
        <v>0</v>
      </c>
      <c r="S29" s="3"/>
      <c r="T29" s="69" t="s">
        <v>60</v>
      </c>
      <c r="U29" s="62"/>
      <c r="V29" s="70" t="s">
        <v>61</v>
      </c>
      <c r="W29" s="63">
        <f>W28*U29</f>
        <v>0</v>
      </c>
      <c r="X29" s="4"/>
      <c r="Y29" s="4"/>
      <c r="Z29" s="4"/>
      <c r="AA29" s="102"/>
      <c r="AB29" s="108">
        <v>36465</v>
      </c>
      <c r="AC29" s="106">
        <v>35722299</v>
      </c>
      <c r="AD29" s="107">
        <v>-4.4200000000000003E-2</v>
      </c>
      <c r="AE29" s="106">
        <v>29349036</v>
      </c>
      <c r="AF29" s="102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</row>
    <row r="30" spans="1:43">
      <c r="A30" s="132" t="s">
        <v>51</v>
      </c>
      <c r="B30" s="21">
        <v>203</v>
      </c>
      <c r="C30" s="21">
        <v>839</v>
      </c>
      <c r="D30" s="21">
        <v>0</v>
      </c>
      <c r="E30" s="21">
        <v>0</v>
      </c>
      <c r="F30" s="21">
        <v>0</v>
      </c>
      <c r="G30" s="21">
        <v>241</v>
      </c>
      <c r="H30" s="21">
        <v>60</v>
      </c>
      <c r="I30" s="21">
        <v>108</v>
      </c>
      <c r="J30" s="7" t="s">
        <v>51</v>
      </c>
      <c r="K30" s="21">
        <v>38</v>
      </c>
      <c r="L30" s="21">
        <v>32</v>
      </c>
      <c r="M30" s="21">
        <v>35</v>
      </c>
      <c r="N30" s="21">
        <v>12</v>
      </c>
      <c r="O30" s="21">
        <v>38</v>
      </c>
      <c r="P30" s="21">
        <v>-11</v>
      </c>
      <c r="Q30" s="21">
        <v>165</v>
      </c>
      <c r="R30" s="21">
        <v>839</v>
      </c>
      <c r="S30" s="3"/>
      <c r="T30" s="25" t="s">
        <v>237</v>
      </c>
      <c r="U30" s="24"/>
      <c r="V30" s="24"/>
      <c r="W30" s="24"/>
      <c r="X30" s="4"/>
      <c r="Y30" s="4"/>
      <c r="Z30" s="4"/>
      <c r="AA30" s="102"/>
      <c r="AB30" s="108">
        <v>36434</v>
      </c>
      <c r="AC30" s="106">
        <v>37372507</v>
      </c>
      <c r="AD30" s="107">
        <v>1.9599999999999999E-2</v>
      </c>
      <c r="AE30" s="106">
        <v>29180950</v>
      </c>
      <c r="AF30" s="102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</row>
    <row r="31" spans="1:43">
      <c r="A31" s="133" t="s">
        <v>54</v>
      </c>
      <c r="B31" s="19">
        <v>673</v>
      </c>
      <c r="C31" s="19">
        <v>59</v>
      </c>
      <c r="D31" s="19">
        <v>630</v>
      </c>
      <c r="E31" s="19">
        <v>0</v>
      </c>
      <c r="F31" s="19">
        <v>0</v>
      </c>
      <c r="G31" s="19">
        <v>413</v>
      </c>
      <c r="H31" s="19">
        <v>34</v>
      </c>
      <c r="I31" s="19">
        <v>323</v>
      </c>
      <c r="J31" s="12" t="s">
        <v>54</v>
      </c>
      <c r="K31" s="20">
        <v>17</v>
      </c>
      <c r="L31" s="20">
        <v>0</v>
      </c>
      <c r="M31" s="20">
        <v>0</v>
      </c>
      <c r="N31" s="20">
        <v>15</v>
      </c>
      <c r="O31" s="20">
        <v>658</v>
      </c>
      <c r="P31" s="20">
        <v>0</v>
      </c>
      <c r="Q31" s="20">
        <v>0</v>
      </c>
      <c r="R31" s="20">
        <v>59</v>
      </c>
      <c r="S31" s="3"/>
      <c r="T31" s="28" t="s">
        <v>65</v>
      </c>
      <c r="U31" s="29" t="s">
        <v>264</v>
      </c>
      <c r="V31" s="30"/>
      <c r="W31" s="31"/>
      <c r="X31" s="4"/>
      <c r="Y31" s="4"/>
      <c r="Z31" s="4"/>
      <c r="AA31" s="102"/>
      <c r="AB31" s="108">
        <v>36404</v>
      </c>
      <c r="AC31" s="106">
        <v>36652584</v>
      </c>
      <c r="AD31" s="107">
        <v>4.1999999999999997E-3</v>
      </c>
      <c r="AE31" s="106">
        <v>28024082</v>
      </c>
      <c r="AF31" s="102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</row>
    <row r="32" spans="1:43">
      <c r="A32" s="132" t="s">
        <v>56</v>
      </c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J32" s="7" t="s">
        <v>56</v>
      </c>
      <c r="K32" s="21">
        <v>0</v>
      </c>
      <c r="L32" s="21">
        <v>0</v>
      </c>
      <c r="M32" s="21">
        <v>0</v>
      </c>
      <c r="N32" s="21">
        <v>0</v>
      </c>
      <c r="O32" s="21">
        <v>0</v>
      </c>
      <c r="P32" s="21">
        <v>0</v>
      </c>
      <c r="Q32" s="21">
        <v>0</v>
      </c>
      <c r="R32" s="21">
        <v>0</v>
      </c>
      <c r="S32" s="3"/>
      <c r="T32" s="28" t="s">
        <v>67</v>
      </c>
      <c r="U32" s="29" t="s">
        <v>265</v>
      </c>
      <c r="V32" s="30"/>
      <c r="W32" s="31"/>
      <c r="X32" s="4"/>
      <c r="Y32" s="4"/>
      <c r="Z32" s="4"/>
      <c r="AA32" s="102"/>
      <c r="AB32" s="108">
        <v>36373</v>
      </c>
      <c r="AC32" s="106">
        <v>36498090</v>
      </c>
      <c r="AD32" s="107">
        <v>9.4999999999999998E-3</v>
      </c>
      <c r="AE32" s="106">
        <v>28887650</v>
      </c>
      <c r="AF32" s="102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</row>
    <row r="33" spans="1:43">
      <c r="A33" s="133" t="s">
        <v>59</v>
      </c>
      <c r="B33" s="19">
        <v>163</v>
      </c>
      <c r="C33" s="19">
        <v>352</v>
      </c>
      <c r="D33" s="19">
        <v>195</v>
      </c>
      <c r="E33" s="19">
        <v>424</v>
      </c>
      <c r="F33" s="19">
        <v>1097</v>
      </c>
      <c r="G33" s="19">
        <v>115</v>
      </c>
      <c r="H33" s="19">
        <v>204</v>
      </c>
      <c r="I33" s="19">
        <v>45</v>
      </c>
      <c r="J33" s="12" t="s">
        <v>59</v>
      </c>
      <c r="K33" s="20">
        <v>5</v>
      </c>
      <c r="L33" s="20">
        <v>-19</v>
      </c>
      <c r="M33" s="20">
        <v>446</v>
      </c>
      <c r="N33" s="20">
        <v>24</v>
      </c>
      <c r="O33" s="20">
        <v>16</v>
      </c>
      <c r="P33" s="20">
        <v>88</v>
      </c>
      <c r="Q33" s="20">
        <v>34</v>
      </c>
      <c r="R33" s="20">
        <v>47</v>
      </c>
      <c r="S33" s="3"/>
      <c r="T33" s="28" t="s">
        <v>69</v>
      </c>
      <c r="U33" s="29" t="s">
        <v>266</v>
      </c>
      <c r="V33" s="30"/>
      <c r="W33" s="31"/>
      <c r="X33" s="4"/>
      <c r="Y33" s="4"/>
      <c r="Z33" s="4"/>
      <c r="AA33" s="102"/>
      <c r="AB33" s="108">
        <v>36342</v>
      </c>
      <c r="AC33" s="106">
        <v>36156392</v>
      </c>
      <c r="AD33" s="107">
        <v>2.9700000000000001E-2</v>
      </c>
      <c r="AE33" s="106">
        <v>30278581</v>
      </c>
      <c r="AF33" s="102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</row>
    <row r="34" spans="1:43">
      <c r="A34" s="132" t="s">
        <v>62</v>
      </c>
      <c r="B34" s="21">
        <v>1485</v>
      </c>
      <c r="C34" s="21">
        <v>1464</v>
      </c>
      <c r="D34" s="21">
        <v>3663</v>
      </c>
      <c r="E34" s="21">
        <v>2257</v>
      </c>
      <c r="F34" s="21">
        <v>2606</v>
      </c>
      <c r="G34" s="21">
        <v>3090</v>
      </c>
      <c r="H34" s="21">
        <v>4266</v>
      </c>
      <c r="I34" s="21">
        <v>1904</v>
      </c>
      <c r="J34" s="7" t="s">
        <v>62</v>
      </c>
      <c r="K34" s="21">
        <v>168</v>
      </c>
      <c r="L34" s="21">
        <v>2798</v>
      </c>
      <c r="M34" s="21">
        <v>893</v>
      </c>
      <c r="N34" s="21">
        <v>221</v>
      </c>
      <c r="O34" s="21">
        <v>645</v>
      </c>
      <c r="P34" s="21">
        <v>92</v>
      </c>
      <c r="Q34" s="21">
        <v>527</v>
      </c>
      <c r="R34" s="21">
        <v>1017</v>
      </c>
      <c r="S34" s="64"/>
      <c r="T34" s="28" t="s">
        <v>71</v>
      </c>
      <c r="U34" s="32" t="s">
        <v>267</v>
      </c>
      <c r="V34" s="30"/>
      <c r="W34" s="33"/>
      <c r="X34" s="24"/>
      <c r="Y34" s="24"/>
      <c r="Z34" s="24"/>
      <c r="AA34" s="102"/>
      <c r="AB34" s="108">
        <v>36312</v>
      </c>
      <c r="AC34" s="106">
        <v>35113042</v>
      </c>
      <c r="AD34" s="107">
        <v>3.7600000000000001E-2</v>
      </c>
      <c r="AE34" s="106">
        <v>25777846</v>
      </c>
      <c r="AF34" s="102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</row>
    <row r="35" spans="1:43">
      <c r="A35" s="134" t="s">
        <v>64</v>
      </c>
      <c r="B35" s="19">
        <v>5802</v>
      </c>
      <c r="C35" s="19">
        <v>14444</v>
      </c>
      <c r="D35" s="19">
        <v>459</v>
      </c>
      <c r="E35" s="19">
        <v>4469</v>
      </c>
      <c r="F35" s="19">
        <v>8500</v>
      </c>
      <c r="G35" s="19">
        <v>8507</v>
      </c>
      <c r="H35" s="19">
        <v>806</v>
      </c>
      <c r="I35" s="19">
        <v>4956</v>
      </c>
      <c r="J35" s="27" t="s">
        <v>64</v>
      </c>
      <c r="K35" s="20">
        <v>2413</v>
      </c>
      <c r="L35" s="20">
        <v>2370</v>
      </c>
      <c r="M35" s="20">
        <v>687</v>
      </c>
      <c r="N35" s="20">
        <v>757</v>
      </c>
      <c r="O35" s="20">
        <v>906</v>
      </c>
      <c r="P35" s="20">
        <v>2206</v>
      </c>
      <c r="Q35" s="20">
        <v>1933</v>
      </c>
      <c r="R35" s="20">
        <v>2538</v>
      </c>
      <c r="S35" s="3"/>
      <c r="T35" s="66"/>
      <c r="U35" s="66"/>
      <c r="V35" s="66"/>
      <c r="W35" s="66"/>
      <c r="X35" s="4"/>
      <c r="Y35" s="4"/>
      <c r="Z35" s="4"/>
      <c r="AA35" s="102"/>
      <c r="AB35" s="108">
        <v>36281</v>
      </c>
      <c r="AC35" s="106">
        <v>33839484</v>
      </c>
      <c r="AD35" s="107">
        <v>3.5400000000000001E-2</v>
      </c>
      <c r="AE35" s="106">
        <v>24473921</v>
      </c>
      <c r="AF35" s="102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</row>
    <row r="36" spans="1:43">
      <c r="A36" s="135" t="s">
        <v>354</v>
      </c>
      <c r="B36" s="21">
        <v>144708</v>
      </c>
      <c r="C36" s="21">
        <v>169290</v>
      </c>
      <c r="D36" s="21">
        <v>94981</v>
      </c>
      <c r="E36" s="21">
        <v>110759</v>
      </c>
      <c r="F36" s="21">
        <v>120751</v>
      </c>
      <c r="G36" s="21">
        <v>134806</v>
      </c>
      <c r="H36" s="21">
        <v>93819</v>
      </c>
      <c r="I36" s="21">
        <v>91779</v>
      </c>
      <c r="J36" s="7" t="s">
        <v>66</v>
      </c>
      <c r="K36" s="21">
        <v>53483</v>
      </c>
      <c r="L36" s="21">
        <v>48091</v>
      </c>
      <c r="M36" s="21">
        <v>35727</v>
      </c>
      <c r="N36" s="21">
        <v>33574</v>
      </c>
      <c r="O36" s="21">
        <v>32141</v>
      </c>
      <c r="P36" s="21">
        <v>38910</v>
      </c>
      <c r="Q36" s="21">
        <v>40083</v>
      </c>
      <c r="R36" s="21">
        <v>42617</v>
      </c>
      <c r="S36" s="3"/>
      <c r="T36" s="66"/>
      <c r="U36" s="66"/>
      <c r="V36" s="66"/>
      <c r="W36" s="66"/>
      <c r="X36" s="4"/>
      <c r="Y36" s="4"/>
      <c r="Z36" s="4"/>
      <c r="AA36" s="102"/>
      <c r="AB36" s="108">
        <v>36251</v>
      </c>
      <c r="AC36" s="106">
        <v>32683232</v>
      </c>
      <c r="AD36" s="107">
        <v>6.0400000000000002E-2</v>
      </c>
      <c r="AE36" s="106">
        <v>21744749</v>
      </c>
      <c r="AF36" s="102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</row>
    <row r="37" spans="1:43">
      <c r="A37" s="136" t="s">
        <v>68</v>
      </c>
      <c r="B37" s="19">
        <v>10507</v>
      </c>
      <c r="C37" s="19">
        <v>7685</v>
      </c>
      <c r="D37" s="19">
        <v>5763</v>
      </c>
      <c r="E37" s="19">
        <v>10826</v>
      </c>
      <c r="F37" s="19">
        <v>11574</v>
      </c>
      <c r="G37" s="19">
        <v>7551</v>
      </c>
      <c r="H37" s="19">
        <v>244</v>
      </c>
      <c r="I37" s="19">
        <v>-538</v>
      </c>
      <c r="J37" s="12" t="s">
        <v>68</v>
      </c>
      <c r="K37" s="20">
        <v>4181</v>
      </c>
      <c r="L37" s="20">
        <v>6278</v>
      </c>
      <c r="M37" s="20">
        <v>2253</v>
      </c>
      <c r="N37" s="20">
        <v>1996</v>
      </c>
      <c r="O37" s="20">
        <v>1746</v>
      </c>
      <c r="P37" s="20">
        <v>2959</v>
      </c>
      <c r="Q37" s="20">
        <v>3805</v>
      </c>
      <c r="R37" s="20">
        <v>1896</v>
      </c>
      <c r="S37" s="3"/>
      <c r="T37" s="66"/>
      <c r="U37" s="66"/>
      <c r="V37" s="66"/>
      <c r="W37" s="66"/>
      <c r="X37" s="4"/>
      <c r="Y37" s="4"/>
      <c r="Z37" s="4"/>
      <c r="AA37" s="102"/>
      <c r="AB37" s="108">
        <v>36220</v>
      </c>
      <c r="AC37" s="106">
        <v>30823003</v>
      </c>
      <c r="AD37" s="107">
        <v>5.5800000000000002E-2</v>
      </c>
      <c r="AE37" s="106">
        <v>13619497</v>
      </c>
      <c r="AF37" s="102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</row>
    <row r="38" spans="1:43">
      <c r="A38" s="7" t="s">
        <v>70</v>
      </c>
      <c r="B38" s="21">
        <v>134201</v>
      </c>
      <c r="C38" s="21">
        <v>161605</v>
      </c>
      <c r="D38" s="21">
        <v>89218</v>
      </c>
      <c r="E38" s="21">
        <v>99933</v>
      </c>
      <c r="F38" s="21">
        <v>109177</v>
      </c>
      <c r="G38" s="21">
        <v>127256</v>
      </c>
      <c r="H38" s="21">
        <v>93575</v>
      </c>
      <c r="I38" s="21">
        <v>92316</v>
      </c>
      <c r="J38" s="7" t="s">
        <v>70</v>
      </c>
      <c r="K38" s="21">
        <v>49303</v>
      </c>
      <c r="L38" s="21">
        <v>41813</v>
      </c>
      <c r="M38" s="21">
        <v>33474</v>
      </c>
      <c r="N38" s="21">
        <v>31579</v>
      </c>
      <c r="O38" s="21">
        <v>30395</v>
      </c>
      <c r="P38" s="21">
        <v>35950</v>
      </c>
      <c r="Q38" s="21">
        <v>36278</v>
      </c>
      <c r="R38" s="21">
        <v>40720</v>
      </c>
      <c r="S38" s="3"/>
      <c r="X38" s="4"/>
      <c r="Y38" s="4"/>
      <c r="Z38" s="4"/>
      <c r="AA38" s="102"/>
      <c r="AB38" s="108">
        <v>36192</v>
      </c>
      <c r="AC38" s="106">
        <v>29195234</v>
      </c>
      <c r="AD38" s="107">
        <v>1.2999999999999999E-3</v>
      </c>
      <c r="AE38" s="106">
        <v>11503819</v>
      </c>
      <c r="AF38" s="102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</row>
    <row r="39" spans="1:43">
      <c r="A39" s="10" t="s">
        <v>72</v>
      </c>
      <c r="B39" s="19">
        <v>0</v>
      </c>
      <c r="C39" s="19">
        <v>0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2" t="s">
        <v>72</v>
      </c>
      <c r="K39" s="20">
        <v>0</v>
      </c>
      <c r="L39" s="20">
        <v>0</v>
      </c>
      <c r="M39" s="20">
        <v>0</v>
      </c>
      <c r="N39" s="20">
        <v>0</v>
      </c>
      <c r="O39" s="20">
        <v>0</v>
      </c>
      <c r="P39" s="20">
        <v>0</v>
      </c>
      <c r="Q39" s="20">
        <v>0</v>
      </c>
      <c r="R39" s="20">
        <v>0</v>
      </c>
      <c r="S39" s="3"/>
      <c r="T39" s="3"/>
      <c r="U39" s="3"/>
      <c r="V39" s="3"/>
      <c r="W39" s="3"/>
      <c r="X39" s="4"/>
      <c r="Y39" s="4"/>
      <c r="Z39" s="4"/>
      <c r="AA39" s="102"/>
      <c r="AB39" s="108">
        <v>36161</v>
      </c>
      <c r="AC39" s="106">
        <v>29156271</v>
      </c>
      <c r="AD39" s="107">
        <v>-4.2999999999999997E-2</v>
      </c>
      <c r="AE39" s="106">
        <v>12436378</v>
      </c>
      <c r="AF39" s="102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</row>
    <row r="40" spans="1:43">
      <c r="A40" s="7" t="s">
        <v>73</v>
      </c>
      <c r="B40" s="21">
        <v>0</v>
      </c>
      <c r="C40" s="21">
        <v>0</v>
      </c>
      <c r="D40" s="21">
        <v>0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J40" s="7" t="s">
        <v>73</v>
      </c>
      <c r="K40" s="21">
        <v>0</v>
      </c>
      <c r="L40" s="21">
        <v>0</v>
      </c>
      <c r="M40" s="21">
        <v>0</v>
      </c>
      <c r="N40" s="21">
        <v>0</v>
      </c>
      <c r="O40" s="21">
        <v>0</v>
      </c>
      <c r="P40" s="21">
        <v>0</v>
      </c>
      <c r="Q40" s="21">
        <v>0</v>
      </c>
      <c r="R40" s="21">
        <v>0</v>
      </c>
      <c r="S40" s="3"/>
      <c r="T40" s="3"/>
      <c r="U40" s="3"/>
      <c r="V40" s="3"/>
      <c r="W40" s="3"/>
      <c r="X40" s="4"/>
      <c r="Y40" s="4"/>
      <c r="Z40" s="4"/>
      <c r="AA40" s="102"/>
      <c r="AB40" s="108">
        <v>36130</v>
      </c>
      <c r="AC40" s="106">
        <v>30466359</v>
      </c>
      <c r="AD40" s="107">
        <v>3.8100000000000002E-2</v>
      </c>
      <c r="AE40" s="106">
        <v>13160762</v>
      </c>
      <c r="AF40" s="102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</row>
    <row r="41" spans="1:43">
      <c r="A41" s="10" t="s">
        <v>74</v>
      </c>
      <c r="B41" s="19">
        <v>0</v>
      </c>
      <c r="C41" s="19">
        <v>0</v>
      </c>
      <c r="D41" s="19">
        <v>0</v>
      </c>
      <c r="E41" s="19">
        <v>0</v>
      </c>
      <c r="F41" s="19">
        <v>0</v>
      </c>
      <c r="G41" s="19">
        <v>-246</v>
      </c>
      <c r="H41" s="19">
        <v>0</v>
      </c>
      <c r="I41" s="19">
        <v>0</v>
      </c>
      <c r="J41" s="12" t="s">
        <v>74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3"/>
      <c r="T41" s="3"/>
      <c r="U41" s="3"/>
      <c r="V41" s="3"/>
      <c r="W41" s="3"/>
      <c r="X41" s="4"/>
      <c r="Y41" s="4"/>
      <c r="Z41" s="4"/>
      <c r="AA41" s="102"/>
      <c r="AB41" s="108">
        <v>36100</v>
      </c>
      <c r="AC41" s="106">
        <v>29349036</v>
      </c>
      <c r="AD41" s="107">
        <v>5.7999999999999996E-3</v>
      </c>
      <c r="AE41" s="106">
        <v>19294770</v>
      </c>
      <c r="AF41" s="102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</row>
    <row r="42" spans="1:43">
      <c r="A42" s="7" t="s">
        <v>75</v>
      </c>
      <c r="B42" s="21">
        <v>134201</v>
      </c>
      <c r="C42" s="21">
        <v>161605</v>
      </c>
      <c r="D42" s="21">
        <v>89218</v>
      </c>
      <c r="E42" s="21">
        <v>99933</v>
      </c>
      <c r="F42" s="21">
        <v>109177</v>
      </c>
      <c r="G42" s="21">
        <v>127010</v>
      </c>
      <c r="H42" s="21">
        <v>93575</v>
      </c>
      <c r="I42" s="21">
        <v>92316</v>
      </c>
      <c r="J42" s="7" t="s">
        <v>75</v>
      </c>
      <c r="K42" s="21">
        <v>49303</v>
      </c>
      <c r="L42" s="21">
        <v>41813</v>
      </c>
      <c r="M42" s="21">
        <v>33474</v>
      </c>
      <c r="N42" s="21">
        <v>31579</v>
      </c>
      <c r="O42" s="21">
        <v>30395</v>
      </c>
      <c r="P42" s="21">
        <v>35950</v>
      </c>
      <c r="Q42" s="21">
        <v>36278</v>
      </c>
      <c r="R42" s="21">
        <v>40720</v>
      </c>
      <c r="S42" s="3"/>
      <c r="T42" s="3"/>
      <c r="U42" s="3"/>
      <c r="V42" s="3"/>
      <c r="W42" s="3"/>
      <c r="X42" s="4"/>
      <c r="Y42" s="4"/>
      <c r="Z42" s="4"/>
      <c r="AA42" s="102"/>
      <c r="AB42" s="108">
        <v>36069</v>
      </c>
      <c r="AC42" s="106">
        <v>29180950</v>
      </c>
      <c r="AD42" s="107">
        <v>4.1300000000000003E-2</v>
      </c>
      <c r="AE42" s="106">
        <v>28370678</v>
      </c>
      <c r="AF42" s="102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</row>
    <row r="43" spans="1:43">
      <c r="A43" s="10" t="s">
        <v>76</v>
      </c>
      <c r="B43" s="34">
        <v>5.18</v>
      </c>
      <c r="C43" s="34">
        <v>6.24</v>
      </c>
      <c r="D43" s="34">
        <v>3.45</v>
      </c>
      <c r="E43" s="34">
        <v>3.86</v>
      </c>
      <c r="F43" s="34">
        <v>4.1399999999999997</v>
      </c>
      <c r="G43" s="34">
        <v>4.93</v>
      </c>
      <c r="H43" s="34">
        <v>3.79</v>
      </c>
      <c r="I43" s="34">
        <v>3.97</v>
      </c>
      <c r="J43" s="12" t="s">
        <v>76</v>
      </c>
      <c r="K43" s="35">
        <v>1.9</v>
      </c>
      <c r="L43" s="35">
        <v>1.61</v>
      </c>
      <c r="M43" s="35">
        <v>1.29</v>
      </c>
      <c r="N43" s="35">
        <v>1.22</v>
      </c>
      <c r="O43" s="35">
        <v>1.17</v>
      </c>
      <c r="P43" s="35">
        <v>1.39</v>
      </c>
      <c r="Q43" s="35">
        <v>1.4</v>
      </c>
      <c r="R43" s="35">
        <v>1.57</v>
      </c>
      <c r="S43" s="3"/>
      <c r="T43" s="3"/>
      <c r="U43" s="3"/>
      <c r="V43" s="3"/>
      <c r="W43" s="3"/>
      <c r="X43" s="4"/>
      <c r="Y43" s="4"/>
      <c r="Z43" s="4"/>
      <c r="AA43" s="102"/>
      <c r="AB43" s="108">
        <v>36039</v>
      </c>
      <c r="AC43" s="106">
        <v>28024082</v>
      </c>
      <c r="AD43" s="107">
        <v>-2.9899999999999999E-2</v>
      </c>
      <c r="AE43" s="106" t="s">
        <v>86</v>
      </c>
      <c r="AF43" s="102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</row>
    <row r="44" spans="1:43">
      <c r="A44" s="7" t="s">
        <v>77</v>
      </c>
      <c r="B44" s="21">
        <v>259141</v>
      </c>
      <c r="C44" s="21">
        <v>259058</v>
      </c>
      <c r="D44" s="21">
        <v>258358</v>
      </c>
      <c r="E44" s="21">
        <v>259096</v>
      </c>
      <c r="F44" s="21">
        <v>263466</v>
      </c>
      <c r="G44" s="21">
        <v>257886</v>
      </c>
      <c r="H44" s="21">
        <v>246799</v>
      </c>
      <c r="I44" s="21">
        <v>232487</v>
      </c>
      <c r="J44" s="7" t="s">
        <v>77</v>
      </c>
      <c r="K44" s="21">
        <v>259199</v>
      </c>
      <c r="L44" s="21">
        <v>259192</v>
      </c>
      <c r="M44" s="21">
        <v>259176</v>
      </c>
      <c r="N44" s="21">
        <v>259141</v>
      </c>
      <c r="O44" s="21">
        <v>259138</v>
      </c>
      <c r="P44" s="21">
        <v>259134</v>
      </c>
      <c r="Q44" s="21">
        <v>259125</v>
      </c>
      <c r="R44" s="21">
        <v>259058</v>
      </c>
      <c r="S44" s="3"/>
      <c r="T44" s="3"/>
      <c r="U44" s="3"/>
      <c r="V44" s="3"/>
      <c r="W44" s="3"/>
      <c r="X44" s="4"/>
      <c r="Y44" s="4"/>
      <c r="Z44" s="4"/>
      <c r="AA44" s="102"/>
      <c r="AB44" s="108">
        <v>36008</v>
      </c>
      <c r="AC44" s="106">
        <v>28887650</v>
      </c>
      <c r="AD44" s="107">
        <v>-4.5900000000000003E-2</v>
      </c>
      <c r="AE44" s="106" t="s">
        <v>86</v>
      </c>
      <c r="AF44" s="102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</row>
    <row r="45" spans="1:43">
      <c r="A45" s="10" t="s">
        <v>78</v>
      </c>
      <c r="B45" s="19">
        <v>0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2" t="s">
        <v>78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3"/>
      <c r="T45" s="3"/>
      <c r="U45" s="3"/>
      <c r="V45" s="3"/>
      <c r="W45" s="3"/>
      <c r="X45" s="4"/>
      <c r="Y45" s="4"/>
      <c r="Z45" s="4"/>
      <c r="AA45" s="102"/>
      <c r="AB45" s="108">
        <v>35977</v>
      </c>
      <c r="AC45" s="106">
        <v>30278581</v>
      </c>
      <c r="AD45" s="107">
        <v>0.17460000000000001</v>
      </c>
      <c r="AE45" s="106" t="s">
        <v>86</v>
      </c>
      <c r="AF45" s="102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</row>
    <row r="46" spans="1:43">
      <c r="A46" s="7" t="s">
        <v>79</v>
      </c>
      <c r="B46" s="21">
        <v>85263</v>
      </c>
      <c r="C46" s="21">
        <v>109511</v>
      </c>
      <c r="D46" s="21">
        <v>117044</v>
      </c>
      <c r="E46" s="21">
        <v>138208</v>
      </c>
      <c r="F46" s="21">
        <v>72422</v>
      </c>
      <c r="G46" s="21">
        <v>100140</v>
      </c>
      <c r="H46" s="21">
        <v>85384</v>
      </c>
      <c r="I46" s="21">
        <v>65532</v>
      </c>
      <c r="J46" s="7" t="s">
        <v>79</v>
      </c>
      <c r="K46" s="21">
        <v>76018</v>
      </c>
      <c r="L46" s="21">
        <v>116989</v>
      </c>
      <c r="M46" s="21">
        <v>112144</v>
      </c>
      <c r="N46" s="21">
        <v>85263</v>
      </c>
      <c r="O46" s="21">
        <v>67151</v>
      </c>
      <c r="P46" s="21">
        <v>95297</v>
      </c>
      <c r="Q46" s="21">
        <v>93337</v>
      </c>
      <c r="R46" s="21">
        <v>109511</v>
      </c>
      <c r="S46" s="3"/>
      <c r="T46" s="3"/>
      <c r="U46" s="3"/>
      <c r="V46" s="3"/>
      <c r="W46" s="3"/>
      <c r="X46" s="4"/>
      <c r="Y46" s="4"/>
      <c r="Z46" s="4"/>
      <c r="AA46" s="102"/>
      <c r="AB46" s="108">
        <v>35947</v>
      </c>
      <c r="AC46" s="106">
        <v>25777846</v>
      </c>
      <c r="AD46" s="107">
        <v>5.33E-2</v>
      </c>
      <c r="AE46" s="106" t="s">
        <v>86</v>
      </c>
      <c r="AF46" s="102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</row>
    <row r="47" spans="1:43">
      <c r="A47" s="10" t="s">
        <v>80</v>
      </c>
      <c r="B47" s="19">
        <v>3333</v>
      </c>
      <c r="C47" s="19">
        <v>8715</v>
      </c>
      <c r="D47" s="19">
        <v>10127</v>
      </c>
      <c r="E47" s="19">
        <v>5924</v>
      </c>
      <c r="F47" s="19">
        <v>33836</v>
      </c>
      <c r="G47" s="19">
        <v>34522</v>
      </c>
      <c r="H47" s="19">
        <v>47055</v>
      </c>
      <c r="I47" s="19">
        <v>52979</v>
      </c>
      <c r="J47" s="36" t="s">
        <v>80</v>
      </c>
      <c r="K47" s="20">
        <v>2373</v>
      </c>
      <c r="L47" s="20">
        <v>2476</v>
      </c>
      <c r="M47" s="20">
        <v>3319</v>
      </c>
      <c r="N47" s="20">
        <v>3333</v>
      </c>
      <c r="O47" s="20">
        <v>3569</v>
      </c>
      <c r="P47" s="20">
        <v>6304</v>
      </c>
      <c r="Q47" s="20">
        <v>8874</v>
      </c>
      <c r="R47" s="20">
        <v>8715</v>
      </c>
      <c r="S47" s="3"/>
      <c r="T47" s="3"/>
      <c r="U47" s="3"/>
      <c r="V47" s="3"/>
      <c r="W47" s="3"/>
      <c r="X47" s="4"/>
      <c r="Y47" s="4"/>
      <c r="Z47" s="4"/>
      <c r="AA47" s="102"/>
      <c r="AB47" s="108">
        <v>35916</v>
      </c>
      <c r="AC47" s="106">
        <v>24473921</v>
      </c>
      <c r="AD47" s="107">
        <v>0.1255</v>
      </c>
      <c r="AE47" s="106" t="s">
        <v>86</v>
      </c>
      <c r="AF47" s="102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</row>
    <row r="48" spans="1:43">
      <c r="A48" s="7" t="s">
        <v>81</v>
      </c>
      <c r="B48" s="21">
        <v>39299</v>
      </c>
      <c r="C48" s="21">
        <v>40155</v>
      </c>
      <c r="D48" s="21">
        <v>33412</v>
      </c>
      <c r="E48" s="21">
        <v>16864</v>
      </c>
      <c r="F48" s="21">
        <v>40067</v>
      </c>
      <c r="G48" s="21">
        <v>29706</v>
      </c>
      <c r="H48" s="21">
        <v>36396</v>
      </c>
      <c r="I48" s="21">
        <v>27205</v>
      </c>
      <c r="J48" s="7" t="s">
        <v>81</v>
      </c>
      <c r="K48" s="21">
        <v>57536</v>
      </c>
      <c r="L48" s="21">
        <v>53308</v>
      </c>
      <c r="M48" s="21">
        <v>46275</v>
      </c>
      <c r="N48" s="21">
        <v>39299</v>
      </c>
      <c r="O48" s="21">
        <v>44173</v>
      </c>
      <c r="P48" s="21">
        <v>45070</v>
      </c>
      <c r="Q48" s="21">
        <v>44679</v>
      </c>
      <c r="R48" s="21">
        <v>40155</v>
      </c>
      <c r="S48" s="3"/>
      <c r="T48" s="3"/>
      <c r="U48" s="3"/>
      <c r="V48" s="3"/>
      <c r="W48" s="3"/>
      <c r="X48" s="4"/>
      <c r="Y48" s="4"/>
      <c r="Z48" s="4"/>
      <c r="AA48" s="102"/>
      <c r="AB48" s="108">
        <v>35886</v>
      </c>
      <c r="AC48" s="106">
        <v>21744749</v>
      </c>
      <c r="AD48" s="107">
        <v>0.59660000000000002</v>
      </c>
      <c r="AE48" s="106" t="s">
        <v>86</v>
      </c>
      <c r="AF48" s="102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</row>
    <row r="49" spans="1:43">
      <c r="A49" s="10" t="s">
        <v>82</v>
      </c>
      <c r="B49" s="19">
        <v>188</v>
      </c>
      <c r="C49" s="19">
        <v>1302</v>
      </c>
      <c r="D49" s="19">
        <v>246</v>
      </c>
      <c r="E49" s="19">
        <v>490</v>
      </c>
      <c r="F49" s="19">
        <v>727</v>
      </c>
      <c r="G49" s="19">
        <v>684</v>
      </c>
      <c r="H49" s="19">
        <v>3998</v>
      </c>
      <c r="I49" s="19">
        <v>3362</v>
      </c>
      <c r="J49" s="36" t="s">
        <v>82</v>
      </c>
      <c r="K49" s="20">
        <v>241</v>
      </c>
      <c r="L49" s="20">
        <v>652</v>
      </c>
      <c r="M49" s="20">
        <v>1372</v>
      </c>
      <c r="N49" s="20">
        <v>188</v>
      </c>
      <c r="O49" s="20">
        <v>1491</v>
      </c>
      <c r="P49" s="20">
        <v>3232</v>
      </c>
      <c r="Q49" s="20">
        <v>1853</v>
      </c>
      <c r="R49" s="20">
        <v>1302</v>
      </c>
      <c r="S49" s="3"/>
      <c r="T49" s="3"/>
      <c r="U49" s="3"/>
      <c r="V49" s="3"/>
      <c r="W49" s="3"/>
      <c r="X49" s="4"/>
      <c r="Y49" s="4"/>
      <c r="Z49" s="4"/>
      <c r="AA49" s="102"/>
      <c r="AB49" s="108">
        <v>35855</v>
      </c>
      <c r="AC49" s="106">
        <v>13619497</v>
      </c>
      <c r="AD49" s="107">
        <v>0.18390000000000001</v>
      </c>
      <c r="AE49" s="106" t="s">
        <v>86</v>
      </c>
      <c r="AF49" s="102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</row>
    <row r="50" spans="1:43">
      <c r="A50" s="7" t="s">
        <v>83</v>
      </c>
      <c r="B50" s="21">
        <v>0</v>
      </c>
      <c r="C50" s="21">
        <v>0</v>
      </c>
      <c r="D50" s="21">
        <v>0</v>
      </c>
      <c r="E50" s="21">
        <v>0</v>
      </c>
      <c r="F50" s="21">
        <v>0</v>
      </c>
      <c r="G50" s="21">
        <v>0</v>
      </c>
      <c r="H50" s="21">
        <v>0</v>
      </c>
      <c r="I50" s="21">
        <v>0</v>
      </c>
      <c r="J50" s="7" t="s">
        <v>83</v>
      </c>
      <c r="K50" s="21">
        <v>0</v>
      </c>
      <c r="L50" s="21">
        <v>0</v>
      </c>
      <c r="M50" s="21">
        <v>0</v>
      </c>
      <c r="N50" s="21">
        <v>0</v>
      </c>
      <c r="O50" s="21">
        <v>0</v>
      </c>
      <c r="P50" s="21">
        <v>0</v>
      </c>
      <c r="Q50" s="21">
        <v>0</v>
      </c>
      <c r="R50" s="21">
        <v>0</v>
      </c>
      <c r="S50" s="3"/>
      <c r="T50" s="3"/>
      <c r="U50" s="3"/>
      <c r="V50" s="3"/>
      <c r="W50" s="3"/>
      <c r="X50" s="4"/>
      <c r="Y50" s="4"/>
      <c r="Z50" s="4"/>
      <c r="AA50" s="102"/>
      <c r="AB50" s="108">
        <v>35827</v>
      </c>
      <c r="AC50" s="106">
        <v>11503819</v>
      </c>
      <c r="AD50" s="107">
        <v>-7.4999999999999997E-2</v>
      </c>
      <c r="AE50" s="106" t="s">
        <v>86</v>
      </c>
      <c r="AF50" s="102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</row>
    <row r="51" spans="1:43">
      <c r="A51" s="10" t="s">
        <v>84</v>
      </c>
      <c r="B51" s="19">
        <v>22853</v>
      </c>
      <c r="C51" s="19">
        <v>25646</v>
      </c>
      <c r="D51" s="19">
        <v>18830</v>
      </c>
      <c r="E51" s="19">
        <v>12808</v>
      </c>
      <c r="F51" s="19">
        <v>20987</v>
      </c>
      <c r="G51" s="19">
        <v>19152</v>
      </c>
      <c r="H51" s="19">
        <v>16258</v>
      </c>
      <c r="I51" s="19">
        <v>14172</v>
      </c>
      <c r="J51" s="36" t="s">
        <v>84</v>
      </c>
      <c r="K51" s="20">
        <v>30805</v>
      </c>
      <c r="L51" s="20">
        <v>28429</v>
      </c>
      <c r="M51" s="20">
        <v>25577</v>
      </c>
      <c r="N51" s="20">
        <v>22853</v>
      </c>
      <c r="O51" s="20">
        <v>23263</v>
      </c>
      <c r="P51" s="20">
        <v>28405</v>
      </c>
      <c r="Q51" s="20">
        <v>28894</v>
      </c>
      <c r="R51" s="20">
        <v>25646</v>
      </c>
      <c r="S51" s="3"/>
      <c r="T51" s="3"/>
      <c r="U51" s="3"/>
      <c r="V51" s="3"/>
      <c r="W51" s="3"/>
      <c r="X51" s="4"/>
      <c r="Y51" s="4"/>
      <c r="Z51" s="4"/>
      <c r="AA51" s="102"/>
      <c r="AB51" s="108">
        <v>35796</v>
      </c>
      <c r="AC51" s="106">
        <v>12436378</v>
      </c>
      <c r="AD51" s="107">
        <v>-5.5E-2</v>
      </c>
      <c r="AE51" s="106" t="s">
        <v>86</v>
      </c>
      <c r="AF51" s="102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</row>
    <row r="52" spans="1:43">
      <c r="A52" s="7" t="s">
        <v>85</v>
      </c>
      <c r="B52" s="21" t="s">
        <v>86</v>
      </c>
      <c r="C52" s="21" t="s">
        <v>86</v>
      </c>
      <c r="D52" s="21" t="s">
        <v>86</v>
      </c>
      <c r="E52" s="21" t="s">
        <v>86</v>
      </c>
      <c r="F52" s="21" t="s">
        <v>86</v>
      </c>
      <c r="G52" s="21" t="s">
        <v>86</v>
      </c>
      <c r="H52" s="21" t="s">
        <v>86</v>
      </c>
      <c r="I52" s="21" t="s">
        <v>86</v>
      </c>
      <c r="J52" s="7" t="s">
        <v>85</v>
      </c>
      <c r="K52" s="21" t="s">
        <v>86</v>
      </c>
      <c r="L52" s="21" t="s">
        <v>86</v>
      </c>
      <c r="M52" s="21" t="s">
        <v>86</v>
      </c>
      <c r="N52" s="21" t="s">
        <v>86</v>
      </c>
      <c r="O52" s="21" t="s">
        <v>86</v>
      </c>
      <c r="P52" s="21" t="s">
        <v>86</v>
      </c>
      <c r="Q52" s="21" t="s">
        <v>86</v>
      </c>
      <c r="R52" s="21" t="s">
        <v>86</v>
      </c>
      <c r="S52" s="3"/>
      <c r="T52" s="3"/>
      <c r="U52" s="3"/>
      <c r="V52" s="3"/>
      <c r="W52" s="3"/>
      <c r="X52" s="4"/>
      <c r="Y52" s="4"/>
      <c r="Z52" s="4"/>
      <c r="AA52" s="102"/>
      <c r="AB52" s="108">
        <v>35765</v>
      </c>
      <c r="AC52" s="106">
        <v>13160762</v>
      </c>
      <c r="AD52" s="107">
        <v>-0.31790000000000002</v>
      </c>
      <c r="AE52" s="106" t="s">
        <v>86</v>
      </c>
      <c r="AF52" s="102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</row>
    <row r="53" spans="1:43">
      <c r="A53" s="10" t="s">
        <v>87</v>
      </c>
      <c r="B53" s="19">
        <v>0</v>
      </c>
      <c r="C53" s="19">
        <v>0</v>
      </c>
      <c r="D53" s="19">
        <v>0</v>
      </c>
      <c r="E53" s="19">
        <v>0</v>
      </c>
      <c r="F53" s="19">
        <v>187</v>
      </c>
      <c r="G53" s="19">
        <v>635</v>
      </c>
      <c r="H53" s="19">
        <v>865</v>
      </c>
      <c r="I53" s="19">
        <v>740</v>
      </c>
      <c r="J53" s="12" t="s">
        <v>87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3"/>
      <c r="T53" s="3"/>
      <c r="U53" s="3"/>
      <c r="V53" s="3"/>
      <c r="W53" s="3"/>
      <c r="X53" s="4"/>
      <c r="Y53" s="4"/>
      <c r="Z53" s="4"/>
      <c r="AA53" s="102"/>
      <c r="AB53" s="108">
        <v>35735</v>
      </c>
      <c r="AC53" s="106">
        <v>19294770</v>
      </c>
      <c r="AD53" s="107">
        <v>-0.31990000000000002</v>
      </c>
      <c r="AE53" s="106" t="s">
        <v>86</v>
      </c>
      <c r="AF53" s="102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</row>
    <row r="54" spans="1:43">
      <c r="A54" s="7" t="s">
        <v>88</v>
      </c>
      <c r="B54" s="21">
        <v>7627</v>
      </c>
      <c r="C54" s="21">
        <v>6904</v>
      </c>
      <c r="D54" s="21">
        <v>6174</v>
      </c>
      <c r="E54" s="21">
        <v>5555</v>
      </c>
      <c r="F54" s="21">
        <v>6073</v>
      </c>
      <c r="G54" s="21">
        <v>8837</v>
      </c>
      <c r="H54" s="21">
        <v>7606</v>
      </c>
      <c r="I54" s="21">
        <v>9677</v>
      </c>
      <c r="J54" s="7" t="s">
        <v>88</v>
      </c>
      <c r="K54" s="21">
        <v>4482</v>
      </c>
      <c r="L54" s="21">
        <v>4508</v>
      </c>
      <c r="M54" s="21">
        <v>9093</v>
      </c>
      <c r="N54" s="21">
        <v>7627</v>
      </c>
      <c r="O54" s="21">
        <v>2929</v>
      </c>
      <c r="P54" s="21">
        <v>2545</v>
      </c>
      <c r="Q54" s="21">
        <v>6343</v>
      </c>
      <c r="R54" s="21">
        <v>6904</v>
      </c>
      <c r="S54" s="3"/>
      <c r="T54" s="3"/>
      <c r="U54" s="3"/>
      <c r="V54" s="3"/>
      <c r="W54" s="3"/>
      <c r="X54" s="4"/>
      <c r="Y54" s="4"/>
      <c r="Z54" s="4"/>
      <c r="AA54" s="102"/>
      <c r="AB54" s="108">
        <v>35704</v>
      </c>
      <c r="AC54" s="106">
        <v>28370678</v>
      </c>
      <c r="AD54" s="107" t="s">
        <v>86</v>
      </c>
      <c r="AE54" s="106" t="s">
        <v>86</v>
      </c>
      <c r="AF54" s="102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</row>
    <row r="55" spans="1:43">
      <c r="A55" s="10" t="s">
        <v>89</v>
      </c>
      <c r="B55" s="19">
        <v>158563</v>
      </c>
      <c r="C55" s="19">
        <v>192234</v>
      </c>
      <c r="D55" s="19">
        <v>185832</v>
      </c>
      <c r="E55" s="19">
        <v>179849</v>
      </c>
      <c r="F55" s="19">
        <v>174299</v>
      </c>
      <c r="G55" s="19">
        <v>193676</v>
      </c>
      <c r="H55" s="19">
        <v>197562</v>
      </c>
      <c r="I55" s="19">
        <v>173667</v>
      </c>
      <c r="J55" s="36" t="s">
        <v>89</v>
      </c>
      <c r="K55" s="20">
        <v>171455</v>
      </c>
      <c r="L55" s="20">
        <v>206363</v>
      </c>
      <c r="M55" s="20">
        <v>197779</v>
      </c>
      <c r="N55" s="20">
        <v>158563</v>
      </c>
      <c r="O55" s="20">
        <v>142576</v>
      </c>
      <c r="P55" s="20">
        <v>180852</v>
      </c>
      <c r="Q55" s="20">
        <v>183979</v>
      </c>
      <c r="R55" s="20">
        <v>192234</v>
      </c>
      <c r="S55" s="3"/>
      <c r="T55" s="3"/>
      <c r="U55" s="3"/>
      <c r="V55" s="3"/>
      <c r="W55" s="3"/>
      <c r="X55" s="4"/>
      <c r="Y55" s="4"/>
      <c r="Z55" s="4"/>
      <c r="AA55" s="102"/>
      <c r="AB55" s="102"/>
      <c r="AC55" s="102"/>
      <c r="AD55" s="102"/>
      <c r="AE55" s="102"/>
      <c r="AF55" s="102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</row>
    <row r="56" spans="1:43">
      <c r="A56" s="37" t="s">
        <v>90</v>
      </c>
      <c r="B56" s="21">
        <v>129401</v>
      </c>
      <c r="C56" s="21">
        <v>117914</v>
      </c>
      <c r="D56" s="21">
        <v>118428</v>
      </c>
      <c r="E56" s="21">
        <v>124185</v>
      </c>
      <c r="F56" s="21">
        <v>123891</v>
      </c>
      <c r="G56" s="21">
        <v>137378</v>
      </c>
      <c r="H56" s="21">
        <v>80660</v>
      </c>
      <c r="I56" s="21">
        <v>73293</v>
      </c>
      <c r="J56" s="7" t="s">
        <v>90</v>
      </c>
      <c r="K56" s="21">
        <v>133204</v>
      </c>
      <c r="L56" s="21">
        <v>133450</v>
      </c>
      <c r="M56" s="21">
        <v>129098</v>
      </c>
      <c r="N56" s="21">
        <v>129401</v>
      </c>
      <c r="O56" s="21">
        <v>126153</v>
      </c>
      <c r="P56" s="21">
        <v>112361</v>
      </c>
      <c r="Q56" s="21">
        <v>116912</v>
      </c>
      <c r="R56" s="21">
        <v>117914</v>
      </c>
      <c r="S56" s="3"/>
      <c r="T56" s="3"/>
      <c r="U56" s="3"/>
      <c r="V56" s="3"/>
      <c r="W56" s="3"/>
      <c r="X56" s="4"/>
      <c r="Y56" s="4"/>
      <c r="Z56" s="4"/>
      <c r="AA56" s="102"/>
      <c r="AB56" s="102"/>
      <c r="AC56" s="102"/>
      <c r="AD56" s="102"/>
      <c r="AE56" s="102"/>
      <c r="AF56" s="102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</row>
    <row r="57" spans="1:43">
      <c r="A57" s="10" t="s">
        <v>91</v>
      </c>
      <c r="B57" s="19">
        <v>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9">
        <v>0</v>
      </c>
      <c r="I57" s="19">
        <v>0</v>
      </c>
      <c r="J57" s="36" t="s">
        <v>91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3"/>
      <c r="T57" s="3"/>
      <c r="U57" s="3"/>
      <c r="V57" s="3"/>
      <c r="W57" s="3"/>
      <c r="X57" s="4"/>
      <c r="Y57" s="4"/>
      <c r="Z57" s="4"/>
      <c r="AA57" s="102"/>
      <c r="AB57" s="102"/>
      <c r="AC57" s="102"/>
      <c r="AD57" s="102"/>
      <c r="AE57" s="102"/>
      <c r="AF57" s="102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</row>
    <row r="58" spans="1:43">
      <c r="A58" s="7" t="s">
        <v>92</v>
      </c>
      <c r="B58" s="21">
        <v>149495</v>
      </c>
      <c r="C58" s="21">
        <v>128647</v>
      </c>
      <c r="D58" s="21">
        <v>124522</v>
      </c>
      <c r="E58" s="21">
        <v>114015</v>
      </c>
      <c r="F58" s="21">
        <v>101908</v>
      </c>
      <c r="G58" s="21">
        <v>96962</v>
      </c>
      <c r="H58" s="21">
        <v>90770</v>
      </c>
      <c r="I58" s="21">
        <v>84299</v>
      </c>
      <c r="J58" s="7" t="s">
        <v>92</v>
      </c>
      <c r="K58" s="21">
        <v>171984</v>
      </c>
      <c r="L58" s="21">
        <v>165492</v>
      </c>
      <c r="M58" s="21">
        <v>163888</v>
      </c>
      <c r="N58" s="21">
        <v>149495</v>
      </c>
      <c r="O58" s="21">
        <v>147429</v>
      </c>
      <c r="P58" s="21">
        <v>146791</v>
      </c>
      <c r="Q58" s="21">
        <v>144103</v>
      </c>
      <c r="R58" s="21">
        <v>128647</v>
      </c>
      <c r="S58" s="3"/>
      <c r="T58" s="3"/>
      <c r="U58" s="3"/>
      <c r="V58" s="3"/>
      <c r="W58" s="3"/>
      <c r="X58" s="4"/>
      <c r="Y58" s="4"/>
      <c r="Z58" s="4"/>
      <c r="AA58" s="102"/>
      <c r="AB58" s="102"/>
      <c r="AC58" s="102"/>
      <c r="AD58" s="102"/>
      <c r="AE58" s="102"/>
      <c r="AF58" s="102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</row>
    <row r="59" spans="1:43">
      <c r="A59" s="10" t="s">
        <v>93</v>
      </c>
      <c r="B59" s="19">
        <v>984979</v>
      </c>
      <c r="C59" s="19">
        <v>852734</v>
      </c>
      <c r="D59" s="19">
        <v>713426</v>
      </c>
      <c r="E59" s="19">
        <v>635008</v>
      </c>
      <c r="F59" s="19">
        <v>589132</v>
      </c>
      <c r="G59" s="19">
        <v>527851</v>
      </c>
      <c r="H59" s="19">
        <v>459851</v>
      </c>
      <c r="I59" s="19">
        <v>390719</v>
      </c>
      <c r="J59" s="36" t="s">
        <v>93</v>
      </c>
      <c r="K59" s="20">
        <v>1185756</v>
      </c>
      <c r="L59" s="20">
        <v>1113875</v>
      </c>
      <c r="M59" s="20">
        <v>1071298</v>
      </c>
      <c r="N59" s="20">
        <v>984979</v>
      </c>
      <c r="O59" s="20">
        <v>967086</v>
      </c>
      <c r="P59" s="20">
        <v>950275</v>
      </c>
      <c r="Q59" s="20">
        <v>919031</v>
      </c>
      <c r="R59" s="20">
        <v>852734</v>
      </c>
      <c r="S59" s="3"/>
      <c r="T59" s="3"/>
      <c r="U59" s="3"/>
      <c r="V59" s="3"/>
      <c r="W59" s="3"/>
      <c r="X59" s="4"/>
      <c r="Y59" s="4"/>
      <c r="Z59" s="4"/>
      <c r="AA59" s="102"/>
      <c r="AB59" s="102"/>
      <c r="AC59" s="102"/>
      <c r="AD59" s="102"/>
      <c r="AE59" s="102"/>
      <c r="AF59" s="102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</row>
    <row r="60" spans="1:43">
      <c r="A60" s="7" t="s">
        <v>94</v>
      </c>
      <c r="B60" s="21">
        <v>13824</v>
      </c>
      <c r="C60" s="21">
        <v>11731</v>
      </c>
      <c r="D60" s="21">
        <v>10781</v>
      </c>
      <c r="E60" s="21">
        <v>9749</v>
      </c>
      <c r="F60" s="21">
        <v>9167</v>
      </c>
      <c r="G60" s="21">
        <v>8659</v>
      </c>
      <c r="H60" s="21">
        <v>7850</v>
      </c>
      <c r="I60" s="21">
        <v>7041</v>
      </c>
      <c r="J60" s="7" t="s">
        <v>94</v>
      </c>
      <c r="K60" s="21">
        <v>15989</v>
      </c>
      <c r="L60" s="21">
        <v>15396</v>
      </c>
      <c r="M60" s="21">
        <v>14858</v>
      </c>
      <c r="N60" s="21">
        <v>13824</v>
      </c>
      <c r="O60" s="21">
        <v>13408</v>
      </c>
      <c r="P60" s="21">
        <v>12916</v>
      </c>
      <c r="Q60" s="21">
        <v>12398</v>
      </c>
      <c r="R60" s="21">
        <v>11731</v>
      </c>
      <c r="S60" s="3"/>
      <c r="T60" s="3"/>
      <c r="U60" s="3"/>
      <c r="V60" s="3"/>
      <c r="W60" s="3"/>
      <c r="X60" s="4"/>
      <c r="Y60" s="4"/>
      <c r="Z60" s="4"/>
      <c r="AA60" s="102"/>
      <c r="AB60" s="102"/>
      <c r="AC60" s="102"/>
      <c r="AD60" s="102"/>
      <c r="AE60" s="102"/>
      <c r="AF60" s="102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</row>
    <row r="61" spans="1:43">
      <c r="A61" s="10" t="s">
        <v>95</v>
      </c>
      <c r="B61" s="19">
        <v>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9">
        <v>0</v>
      </c>
      <c r="I61" s="19">
        <v>0</v>
      </c>
      <c r="J61" s="36" t="s">
        <v>95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3"/>
      <c r="T61" s="3"/>
      <c r="U61" s="3"/>
      <c r="V61" s="3"/>
      <c r="W61" s="3"/>
      <c r="X61" s="4"/>
      <c r="Y61" s="4"/>
      <c r="Z61" s="4"/>
      <c r="AA61" s="102"/>
      <c r="AB61" s="102"/>
      <c r="AC61" s="102"/>
      <c r="AD61" s="102"/>
      <c r="AE61" s="102"/>
      <c r="AF61" s="102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</row>
    <row r="62" spans="1:43">
      <c r="A62" s="7" t="s">
        <v>96</v>
      </c>
      <c r="B62" s="21">
        <v>-804741</v>
      </c>
      <c r="C62" s="21">
        <v>-706605</v>
      </c>
      <c r="D62" s="21">
        <v>-627764</v>
      </c>
      <c r="E62" s="21">
        <v>-557247</v>
      </c>
      <c r="F62" s="21">
        <v>-486725</v>
      </c>
      <c r="G62" s="21">
        <v>-417467</v>
      </c>
      <c r="H62" s="21">
        <v>-359192</v>
      </c>
      <c r="I62" s="21">
        <v>-300006</v>
      </c>
      <c r="J62" s="7" t="s">
        <v>96</v>
      </c>
      <c r="K62" s="21">
        <v>-891718</v>
      </c>
      <c r="L62" s="21">
        <v>-859587</v>
      </c>
      <c r="M62" s="21">
        <v>-829753</v>
      </c>
      <c r="N62" s="21">
        <v>-804741</v>
      </c>
      <c r="O62" s="21">
        <v>-779462</v>
      </c>
      <c r="P62" s="21">
        <v>-754185</v>
      </c>
      <c r="Q62" s="21">
        <v>-729610</v>
      </c>
      <c r="R62" s="21">
        <v>-706605</v>
      </c>
      <c r="S62" s="3"/>
      <c r="T62" s="3"/>
      <c r="U62" s="3"/>
      <c r="V62" s="3"/>
      <c r="W62" s="3"/>
      <c r="X62" s="4"/>
      <c r="Y62" s="4"/>
      <c r="Z62" s="4"/>
      <c r="AA62" s="102"/>
      <c r="AB62" s="102"/>
      <c r="AC62" s="102"/>
      <c r="AD62" s="102"/>
      <c r="AE62" s="102"/>
      <c r="AF62" s="102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</row>
    <row r="63" spans="1:43">
      <c r="A63" s="10" t="s">
        <v>97</v>
      </c>
      <c r="B63" s="19">
        <v>0</v>
      </c>
      <c r="C63" s="19">
        <v>0</v>
      </c>
      <c r="D63" s="19">
        <v>0</v>
      </c>
      <c r="E63" s="19">
        <v>0</v>
      </c>
      <c r="F63" s="19">
        <v>0</v>
      </c>
      <c r="G63" s="19">
        <v>0</v>
      </c>
      <c r="H63" s="19">
        <v>0</v>
      </c>
      <c r="I63" s="19">
        <v>0</v>
      </c>
      <c r="J63" s="12" t="s">
        <v>97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3"/>
      <c r="T63" s="3"/>
      <c r="U63" s="3"/>
      <c r="V63" s="3"/>
      <c r="W63" s="3"/>
      <c r="X63" s="4"/>
      <c r="Y63" s="4"/>
      <c r="Z63" s="4"/>
      <c r="AA63" s="102"/>
      <c r="AB63" s="102"/>
      <c r="AC63" s="102"/>
      <c r="AD63" s="102"/>
      <c r="AE63" s="102"/>
      <c r="AF63" s="102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</row>
    <row r="64" spans="1:43">
      <c r="A64" s="7" t="s">
        <v>98</v>
      </c>
      <c r="B64" s="21">
        <v>110816</v>
      </c>
      <c r="C64" s="21">
        <v>80349</v>
      </c>
      <c r="D64" s="21">
        <v>33787</v>
      </c>
      <c r="E64" s="21">
        <v>17758</v>
      </c>
      <c r="F64" s="21">
        <v>21083</v>
      </c>
      <c r="G64" s="21">
        <v>12231</v>
      </c>
      <c r="H64" s="21">
        <v>14867</v>
      </c>
      <c r="I64" s="21">
        <v>45923</v>
      </c>
      <c r="J64" s="7" t="s">
        <v>98</v>
      </c>
      <c r="K64" s="21">
        <v>65763</v>
      </c>
      <c r="L64" s="21">
        <v>79017</v>
      </c>
      <c r="M64" s="21">
        <v>55232</v>
      </c>
      <c r="N64" s="21">
        <v>110816</v>
      </c>
      <c r="O64" s="21">
        <v>88919</v>
      </c>
      <c r="P64" s="21">
        <v>93046</v>
      </c>
      <c r="Q64" s="21">
        <v>65401</v>
      </c>
      <c r="R64" s="21">
        <v>80349</v>
      </c>
      <c r="S64" s="3"/>
      <c r="T64" s="3"/>
      <c r="U64" s="3"/>
      <c r="V64" s="3"/>
      <c r="W64" s="3"/>
      <c r="X64" s="4"/>
      <c r="Y64" s="4"/>
      <c r="Z64" s="4"/>
      <c r="AA64" s="102"/>
      <c r="AB64" s="102"/>
      <c r="AC64" s="102"/>
      <c r="AD64" s="102"/>
      <c r="AE64" s="102"/>
      <c r="AF64" s="102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</row>
    <row r="65" spans="1:43">
      <c r="A65" s="10" t="s">
        <v>99</v>
      </c>
      <c r="B65" s="19">
        <v>454374</v>
      </c>
      <c r="C65" s="19">
        <v>366854</v>
      </c>
      <c r="D65" s="19">
        <v>254752</v>
      </c>
      <c r="E65" s="19">
        <v>219283</v>
      </c>
      <c r="F65" s="19">
        <v>234565</v>
      </c>
      <c r="G65" s="19">
        <v>228235</v>
      </c>
      <c r="H65" s="19">
        <v>214146</v>
      </c>
      <c r="I65" s="19">
        <v>227976</v>
      </c>
      <c r="J65" s="36" t="s">
        <v>99</v>
      </c>
      <c r="K65" s="20">
        <v>547773</v>
      </c>
      <c r="L65" s="20">
        <v>514193</v>
      </c>
      <c r="M65" s="20">
        <v>475524</v>
      </c>
      <c r="N65" s="20">
        <v>454374</v>
      </c>
      <c r="O65" s="20">
        <v>437380</v>
      </c>
      <c r="P65" s="20">
        <v>448842</v>
      </c>
      <c r="Q65" s="20">
        <v>411321</v>
      </c>
      <c r="R65" s="20">
        <v>366854</v>
      </c>
      <c r="S65" s="3"/>
      <c r="T65" s="3"/>
      <c r="U65" s="3"/>
      <c r="V65" s="3"/>
      <c r="W65" s="3"/>
      <c r="X65" s="4"/>
      <c r="Y65" s="4"/>
      <c r="Z65" s="4"/>
      <c r="AA65" s="102"/>
      <c r="AB65" s="102"/>
      <c r="AC65" s="102"/>
      <c r="AD65" s="102"/>
      <c r="AE65" s="102"/>
      <c r="AF65" s="102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</row>
    <row r="66" spans="1:43">
      <c r="A66" s="7" t="s">
        <v>100</v>
      </c>
      <c r="B66" s="21">
        <v>7222</v>
      </c>
      <c r="C66" s="21">
        <v>7154</v>
      </c>
      <c r="D66" s="21">
        <v>13655</v>
      </c>
      <c r="E66" s="21">
        <v>12899</v>
      </c>
      <c r="F66" s="21">
        <v>14414</v>
      </c>
      <c r="G66" s="21">
        <v>11354</v>
      </c>
      <c r="H66" s="21">
        <v>13441</v>
      </c>
      <c r="I66" s="21">
        <v>10490</v>
      </c>
      <c r="J66" s="7" t="s">
        <v>100</v>
      </c>
      <c r="K66" s="21">
        <v>8058</v>
      </c>
      <c r="L66" s="21">
        <v>8056</v>
      </c>
      <c r="M66" s="21">
        <v>7016</v>
      </c>
      <c r="N66" s="21">
        <v>7222</v>
      </c>
      <c r="O66" s="21">
        <v>11091</v>
      </c>
      <c r="P66" s="21">
        <v>10855</v>
      </c>
      <c r="Q66" s="21">
        <v>6386</v>
      </c>
      <c r="R66" s="21">
        <v>7154</v>
      </c>
      <c r="S66" s="3"/>
      <c r="T66" s="3"/>
      <c r="U66" s="3"/>
      <c r="V66" s="3"/>
      <c r="W66" s="3"/>
      <c r="X66" s="4"/>
      <c r="Y66" s="4"/>
      <c r="Z66" s="4"/>
      <c r="AA66" s="102"/>
      <c r="AB66" s="102"/>
      <c r="AC66" s="102"/>
      <c r="AD66" s="102"/>
      <c r="AE66" s="102"/>
      <c r="AF66" s="102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</row>
    <row r="67" spans="1:43">
      <c r="A67" s="10" t="s">
        <v>101</v>
      </c>
      <c r="B67" s="19">
        <v>1568</v>
      </c>
      <c r="C67" s="19">
        <v>1568</v>
      </c>
      <c r="D67" s="19">
        <v>1568</v>
      </c>
      <c r="E67" s="19">
        <v>1568</v>
      </c>
      <c r="F67" s="19">
        <v>1568</v>
      </c>
      <c r="G67" s="19">
        <v>1568</v>
      </c>
      <c r="H67" s="19">
        <v>1568</v>
      </c>
      <c r="I67" s="19">
        <v>1916</v>
      </c>
      <c r="J67" s="12" t="s">
        <v>101</v>
      </c>
      <c r="K67" s="20">
        <v>1568</v>
      </c>
      <c r="L67" s="20">
        <v>1568</v>
      </c>
      <c r="M67" s="20">
        <v>1568</v>
      </c>
      <c r="N67" s="20">
        <v>1568</v>
      </c>
      <c r="O67" s="20">
        <v>1568</v>
      </c>
      <c r="P67" s="20">
        <v>1568</v>
      </c>
      <c r="Q67" s="20">
        <v>1568</v>
      </c>
      <c r="R67" s="20">
        <v>1568</v>
      </c>
      <c r="S67" s="3"/>
      <c r="T67" s="3"/>
      <c r="U67" s="3"/>
      <c r="V67" s="3"/>
      <c r="W67" s="3"/>
      <c r="X67" s="4"/>
      <c r="Y67" s="4"/>
      <c r="Z67" s="4"/>
      <c r="AA67" s="102"/>
      <c r="AB67" s="102"/>
      <c r="AC67" s="102"/>
      <c r="AD67" s="102"/>
      <c r="AE67" s="102"/>
      <c r="AF67" s="102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</row>
    <row r="68" spans="1:43">
      <c r="A68" s="7" t="s">
        <v>102</v>
      </c>
      <c r="B68" s="21">
        <v>10281</v>
      </c>
      <c r="C68" s="21">
        <v>15515</v>
      </c>
      <c r="D68" s="21">
        <v>3193</v>
      </c>
      <c r="E68" s="21">
        <v>2775</v>
      </c>
      <c r="F68" s="21">
        <v>3036</v>
      </c>
      <c r="G68" s="21">
        <v>1373</v>
      </c>
      <c r="H68" s="21">
        <v>163</v>
      </c>
      <c r="I68" s="21">
        <v>210</v>
      </c>
      <c r="J68" s="7" t="s">
        <v>102</v>
      </c>
      <c r="K68" s="21">
        <v>7985</v>
      </c>
      <c r="L68" s="21">
        <v>9731</v>
      </c>
      <c r="M68" s="21">
        <v>10153</v>
      </c>
      <c r="N68" s="21">
        <v>10281</v>
      </c>
      <c r="O68" s="21">
        <v>10517</v>
      </c>
      <c r="P68" s="21">
        <v>11394</v>
      </c>
      <c r="Q68" s="21">
        <v>11332</v>
      </c>
      <c r="R68" s="21">
        <v>15515</v>
      </c>
      <c r="S68" s="3"/>
      <c r="T68" s="3"/>
      <c r="U68" s="3"/>
      <c r="V68" s="3"/>
      <c r="W68" s="3"/>
      <c r="X68" s="4"/>
      <c r="Y68" s="4"/>
      <c r="Z68" s="4"/>
      <c r="AA68" s="102"/>
      <c r="AB68" s="102"/>
      <c r="AC68" s="102"/>
      <c r="AD68" s="102"/>
      <c r="AE68" s="102"/>
      <c r="AF68" s="102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</row>
    <row r="69" spans="1:43">
      <c r="A69" s="10" t="s">
        <v>103</v>
      </c>
      <c r="B69" s="19">
        <v>19070</v>
      </c>
      <c r="C69" s="19">
        <v>24237</v>
      </c>
      <c r="D69" s="19">
        <v>18416</v>
      </c>
      <c r="E69" s="19">
        <v>17243</v>
      </c>
      <c r="F69" s="19">
        <v>19018</v>
      </c>
      <c r="G69" s="19">
        <v>14295</v>
      </c>
      <c r="H69" s="19">
        <v>15172</v>
      </c>
      <c r="I69" s="19">
        <v>12617</v>
      </c>
      <c r="J69" s="36" t="s">
        <v>103</v>
      </c>
      <c r="K69" s="20">
        <v>17611</v>
      </c>
      <c r="L69" s="20">
        <v>19355</v>
      </c>
      <c r="M69" s="20">
        <v>18736</v>
      </c>
      <c r="N69" s="20">
        <v>19070</v>
      </c>
      <c r="O69" s="20">
        <v>23176</v>
      </c>
      <c r="P69" s="20">
        <v>23817</v>
      </c>
      <c r="Q69" s="20">
        <v>19286</v>
      </c>
      <c r="R69" s="20">
        <v>24237</v>
      </c>
      <c r="S69" s="3"/>
      <c r="T69" s="3"/>
      <c r="U69" s="3"/>
      <c r="V69" s="3"/>
      <c r="W69" s="3"/>
      <c r="X69" s="4"/>
      <c r="Y69" s="4"/>
      <c r="Z69" s="4"/>
      <c r="AA69" s="102"/>
      <c r="AB69" s="102"/>
      <c r="AC69" s="102"/>
      <c r="AD69" s="102"/>
      <c r="AE69" s="102"/>
      <c r="AF69" s="102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</row>
    <row r="70" spans="1:43">
      <c r="A70" s="7" t="s">
        <v>104</v>
      </c>
      <c r="B70" s="21">
        <v>761408</v>
      </c>
      <c r="C70" s="21">
        <v>701240</v>
      </c>
      <c r="D70" s="21">
        <v>577427</v>
      </c>
      <c r="E70" s="21">
        <v>540559</v>
      </c>
      <c r="F70" s="21">
        <v>551773</v>
      </c>
      <c r="G70" s="21">
        <v>573585</v>
      </c>
      <c r="H70" s="21">
        <v>507540</v>
      </c>
      <c r="I70" s="21">
        <v>487553</v>
      </c>
      <c r="J70" s="7" t="s">
        <v>104</v>
      </c>
      <c r="K70" s="21">
        <v>870043</v>
      </c>
      <c r="L70" s="21">
        <v>873361</v>
      </c>
      <c r="M70" s="21">
        <v>821137</v>
      </c>
      <c r="N70" s="21">
        <v>761408</v>
      </c>
      <c r="O70" s="21">
        <v>729285</v>
      </c>
      <c r="P70" s="21">
        <v>765873</v>
      </c>
      <c r="Q70" s="21">
        <v>731498</v>
      </c>
      <c r="R70" s="21">
        <v>701240</v>
      </c>
      <c r="S70" s="3"/>
      <c r="T70" s="3"/>
      <c r="U70" s="3"/>
      <c r="V70" s="3"/>
      <c r="W70" s="3"/>
      <c r="X70" s="4"/>
      <c r="Y70" s="4"/>
      <c r="Z70" s="4"/>
      <c r="AA70" s="102"/>
      <c r="AB70" s="102"/>
      <c r="AC70" s="102"/>
      <c r="AD70" s="102"/>
      <c r="AE70" s="102"/>
      <c r="AF70" s="102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</row>
    <row r="71" spans="1:43">
      <c r="A71" s="10" t="s">
        <v>105</v>
      </c>
      <c r="B71" s="19">
        <v>25927</v>
      </c>
      <c r="C71" s="19">
        <v>30909</v>
      </c>
      <c r="D71" s="19">
        <v>0</v>
      </c>
      <c r="E71" s="19">
        <v>0</v>
      </c>
      <c r="F71" s="19">
        <v>0</v>
      </c>
      <c r="G71" s="19">
        <v>0</v>
      </c>
      <c r="H71" s="19">
        <v>0</v>
      </c>
      <c r="I71" s="19">
        <v>0</v>
      </c>
      <c r="J71" s="36" t="s">
        <v>105</v>
      </c>
      <c r="K71" s="20">
        <v>29750</v>
      </c>
      <c r="L71" s="20">
        <v>30773</v>
      </c>
      <c r="M71" s="20">
        <v>34688</v>
      </c>
      <c r="N71" s="20">
        <v>25927</v>
      </c>
      <c r="O71" s="20">
        <v>46714</v>
      </c>
      <c r="P71" s="20">
        <v>33141</v>
      </c>
      <c r="Q71" s="20">
        <v>34176</v>
      </c>
      <c r="R71" s="20">
        <v>30909</v>
      </c>
      <c r="S71" s="3"/>
      <c r="T71" s="3"/>
      <c r="U71" s="3"/>
      <c r="V71" s="3"/>
      <c r="W71" s="3"/>
      <c r="X71" s="4"/>
      <c r="Y71" s="4"/>
      <c r="Z71" s="4"/>
      <c r="AA71" s="102"/>
      <c r="AB71" s="102"/>
      <c r="AC71" s="102"/>
      <c r="AD71" s="102"/>
      <c r="AE71" s="102"/>
      <c r="AF71" s="102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</row>
    <row r="72" spans="1:43">
      <c r="A72" s="7" t="s">
        <v>106</v>
      </c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J72" s="7" t="s">
        <v>106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>
        <v>0</v>
      </c>
      <c r="R72" s="21">
        <v>0</v>
      </c>
      <c r="S72" s="3"/>
      <c r="T72" s="3"/>
      <c r="U72" s="3"/>
      <c r="V72" s="3"/>
      <c r="W72" s="3"/>
      <c r="X72" s="4"/>
      <c r="Y72" s="4"/>
      <c r="Z72" s="4"/>
      <c r="AA72" s="102"/>
      <c r="AB72" s="102"/>
      <c r="AC72" s="102"/>
      <c r="AD72" s="102"/>
      <c r="AE72" s="102"/>
      <c r="AF72" s="102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</row>
    <row r="73" spans="1:43">
      <c r="A73" s="10" t="s">
        <v>107</v>
      </c>
      <c r="B73" s="19">
        <v>12515</v>
      </c>
      <c r="C73" s="19">
        <v>13134</v>
      </c>
      <c r="D73" s="19">
        <v>11718</v>
      </c>
      <c r="E73" s="19">
        <v>5517</v>
      </c>
      <c r="F73" s="19">
        <v>12485</v>
      </c>
      <c r="G73" s="19">
        <v>9471</v>
      </c>
      <c r="H73" s="19">
        <v>11294</v>
      </c>
      <c r="I73" s="19">
        <v>9687</v>
      </c>
      <c r="J73" s="36" t="s">
        <v>107</v>
      </c>
      <c r="K73" s="20">
        <v>16114</v>
      </c>
      <c r="L73" s="20">
        <v>16461</v>
      </c>
      <c r="M73" s="20">
        <v>15027</v>
      </c>
      <c r="N73" s="20">
        <v>12515</v>
      </c>
      <c r="O73" s="20">
        <v>11265</v>
      </c>
      <c r="P73" s="20">
        <v>13524</v>
      </c>
      <c r="Q73" s="20">
        <v>13400</v>
      </c>
      <c r="R73" s="20">
        <v>13134</v>
      </c>
      <c r="S73" s="3"/>
      <c r="T73" s="3"/>
      <c r="U73" s="3"/>
      <c r="V73" s="3"/>
      <c r="W73" s="3"/>
      <c r="X73" s="4"/>
      <c r="Y73" s="4"/>
      <c r="Z73" s="4"/>
      <c r="AA73" s="102"/>
      <c r="AB73" s="102"/>
      <c r="AC73" s="102"/>
      <c r="AD73" s="102"/>
      <c r="AE73" s="102"/>
      <c r="AF73" s="102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</row>
    <row r="74" spans="1:43">
      <c r="A74" s="7" t="s">
        <v>108</v>
      </c>
      <c r="B74" s="21">
        <v>16732</v>
      </c>
      <c r="C74" s="21">
        <v>18655</v>
      </c>
      <c r="D74" s="21">
        <v>21298</v>
      </c>
      <c r="E74" s="21">
        <v>21675</v>
      </c>
      <c r="F74" s="21">
        <v>2059</v>
      </c>
      <c r="G74" s="21">
        <v>4088</v>
      </c>
      <c r="H74" s="21">
        <v>5375</v>
      </c>
      <c r="I74" s="21">
        <v>5365</v>
      </c>
      <c r="J74" s="7" t="s">
        <v>108</v>
      </c>
      <c r="K74" s="21">
        <v>27022</v>
      </c>
      <c r="L74" s="21">
        <v>21173</v>
      </c>
      <c r="M74" s="21">
        <v>11307</v>
      </c>
      <c r="N74" s="21">
        <v>16732</v>
      </c>
      <c r="O74" s="21">
        <v>18146</v>
      </c>
      <c r="P74" s="21">
        <v>22323</v>
      </c>
      <c r="Q74" s="21">
        <v>13416</v>
      </c>
      <c r="R74" s="21">
        <v>18655</v>
      </c>
      <c r="S74" s="3"/>
      <c r="T74" s="3"/>
      <c r="U74" s="3"/>
      <c r="V74" s="3"/>
      <c r="W74" s="3"/>
      <c r="X74" s="4"/>
      <c r="Y74" s="4"/>
      <c r="Z74" s="4"/>
      <c r="AA74" s="102"/>
      <c r="AB74" s="102"/>
      <c r="AC74" s="102"/>
      <c r="AD74" s="102"/>
      <c r="AE74" s="102"/>
      <c r="AF74" s="102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</row>
    <row r="75" spans="1:43">
      <c r="A75" s="10" t="s">
        <v>109</v>
      </c>
      <c r="B75" s="19">
        <v>939</v>
      </c>
      <c r="C75" s="19">
        <v>1059</v>
      </c>
      <c r="D75" s="19">
        <v>1268</v>
      </c>
      <c r="E75" s="19">
        <v>0</v>
      </c>
      <c r="F75" s="19">
        <v>0</v>
      </c>
      <c r="G75" s="19">
        <v>625</v>
      </c>
      <c r="H75" s="19">
        <v>0</v>
      </c>
      <c r="I75" s="19">
        <v>0</v>
      </c>
      <c r="J75" s="12" t="s">
        <v>109</v>
      </c>
      <c r="K75" s="20">
        <v>0</v>
      </c>
      <c r="L75" s="20">
        <v>1967</v>
      </c>
      <c r="M75" s="20">
        <v>0</v>
      </c>
      <c r="N75" s="20">
        <v>939</v>
      </c>
      <c r="O75" s="20">
        <v>0</v>
      </c>
      <c r="P75" s="20">
        <v>627</v>
      </c>
      <c r="Q75" s="20">
        <v>0</v>
      </c>
      <c r="R75" s="20">
        <v>1059</v>
      </c>
      <c r="S75" s="3"/>
      <c r="T75" s="3"/>
      <c r="U75" s="3"/>
      <c r="V75" s="3"/>
      <c r="W75" s="3"/>
      <c r="X75" s="4"/>
      <c r="Y75" s="4"/>
      <c r="Z75" s="4"/>
      <c r="AA75" s="102"/>
      <c r="AB75" s="102"/>
      <c r="AC75" s="102"/>
      <c r="AD75" s="102"/>
      <c r="AE75" s="102"/>
      <c r="AF75" s="102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</row>
    <row r="76" spans="1:43">
      <c r="A76" s="7" t="s">
        <v>110</v>
      </c>
      <c r="B76" s="21">
        <v>33812</v>
      </c>
      <c r="C76" s="21">
        <v>41992</v>
      </c>
      <c r="D76" s="21">
        <v>28757</v>
      </c>
      <c r="E76" s="21">
        <v>7575</v>
      </c>
      <c r="F76" s="21">
        <v>5390</v>
      </c>
      <c r="G76" s="21">
        <v>10670</v>
      </c>
      <c r="H76" s="21">
        <v>8859</v>
      </c>
      <c r="I76" s="21">
        <v>31154</v>
      </c>
      <c r="J76" s="7" t="s">
        <v>110</v>
      </c>
      <c r="K76" s="21">
        <v>32004</v>
      </c>
      <c r="L76" s="21">
        <v>121698</v>
      </c>
      <c r="M76" s="21">
        <v>33213</v>
      </c>
      <c r="N76" s="21">
        <v>33812</v>
      </c>
      <c r="O76" s="21">
        <v>19036</v>
      </c>
      <c r="P76" s="21">
        <v>112672</v>
      </c>
      <c r="Q76" s="21">
        <v>32411</v>
      </c>
      <c r="R76" s="21">
        <v>41992</v>
      </c>
      <c r="S76" s="3"/>
      <c r="T76" s="3"/>
      <c r="U76" s="3"/>
      <c r="V76" s="3"/>
      <c r="W76" s="3"/>
      <c r="X76" s="4"/>
      <c r="Y76" s="4"/>
      <c r="Z76" s="4"/>
      <c r="AA76" s="102"/>
      <c r="AB76" s="102"/>
      <c r="AC76" s="102"/>
      <c r="AD76" s="102"/>
      <c r="AE76" s="102"/>
      <c r="AF76" s="102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</row>
    <row r="77" spans="1:43">
      <c r="A77" s="10" t="s">
        <v>111</v>
      </c>
      <c r="B77" s="19">
        <v>10648</v>
      </c>
      <c r="C77" s="19">
        <v>7109</v>
      </c>
      <c r="D77" s="19">
        <v>8761</v>
      </c>
      <c r="E77" s="19">
        <v>9223</v>
      </c>
      <c r="F77" s="19">
        <v>10978</v>
      </c>
      <c r="G77" s="19">
        <v>7850</v>
      </c>
      <c r="H77" s="19">
        <v>3816</v>
      </c>
      <c r="I77" s="19">
        <v>0</v>
      </c>
      <c r="J77" s="36" t="s">
        <v>111</v>
      </c>
      <c r="K77" s="20">
        <v>10821</v>
      </c>
      <c r="L77" s="20">
        <v>6779</v>
      </c>
      <c r="M77" s="20">
        <v>13415</v>
      </c>
      <c r="N77" s="20">
        <v>10648</v>
      </c>
      <c r="O77" s="20">
        <v>7680</v>
      </c>
      <c r="P77" s="20">
        <v>6076</v>
      </c>
      <c r="Q77" s="20">
        <v>9703</v>
      </c>
      <c r="R77" s="20">
        <v>7109</v>
      </c>
      <c r="S77" s="3"/>
      <c r="T77" s="3"/>
      <c r="U77" s="3"/>
      <c r="V77" s="3"/>
      <c r="W77" s="3"/>
      <c r="X77" s="4"/>
      <c r="Y77" s="4"/>
      <c r="Z77" s="4"/>
      <c r="AA77" s="102"/>
      <c r="AB77" s="102"/>
      <c r="AC77" s="102"/>
      <c r="AD77" s="102"/>
      <c r="AE77" s="102"/>
      <c r="AF77" s="102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</row>
    <row r="78" spans="1:43">
      <c r="A78" s="7" t="s">
        <v>112</v>
      </c>
      <c r="B78" s="21">
        <v>4500</v>
      </c>
      <c r="C78" s="21">
        <v>719</v>
      </c>
      <c r="D78" s="21">
        <v>769</v>
      </c>
      <c r="E78" s="21">
        <v>9026</v>
      </c>
      <c r="F78" s="21">
        <v>3673</v>
      </c>
      <c r="G78" s="21">
        <v>7618</v>
      </c>
      <c r="H78" s="21">
        <v>869</v>
      </c>
      <c r="I78" s="21">
        <v>12005</v>
      </c>
      <c r="J78" s="7" t="s">
        <v>112</v>
      </c>
      <c r="K78" s="21">
        <v>0</v>
      </c>
      <c r="L78" s="21">
        <v>0</v>
      </c>
      <c r="M78" s="21">
        <v>0</v>
      </c>
      <c r="N78" s="21">
        <v>4500</v>
      </c>
      <c r="O78" s="21">
        <v>5316</v>
      </c>
      <c r="P78" s="21">
        <v>4500</v>
      </c>
      <c r="Q78" s="21">
        <v>5413</v>
      </c>
      <c r="R78" s="21">
        <v>719</v>
      </c>
      <c r="S78" s="3"/>
      <c r="T78" s="3"/>
      <c r="U78" s="3"/>
      <c r="V78" s="3"/>
      <c r="W78" s="3"/>
      <c r="X78" s="4"/>
      <c r="Y78" s="4"/>
      <c r="Z78" s="4"/>
      <c r="AA78" s="102"/>
      <c r="AB78" s="102"/>
      <c r="AC78" s="102"/>
      <c r="AD78" s="102"/>
      <c r="AE78" s="102"/>
      <c r="AF78" s="102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</row>
    <row r="79" spans="1:43">
      <c r="A79" s="10" t="s">
        <v>113</v>
      </c>
      <c r="B79" s="19">
        <v>4442</v>
      </c>
      <c r="C79" s="19">
        <v>4446</v>
      </c>
      <c r="D79" s="19">
        <v>0</v>
      </c>
      <c r="E79" s="19">
        <v>84</v>
      </c>
      <c r="F79" s="19">
        <v>9216</v>
      </c>
      <c r="G79" s="19">
        <v>2584</v>
      </c>
      <c r="H79" s="19">
        <v>1971</v>
      </c>
      <c r="I79" s="19">
        <v>2427</v>
      </c>
      <c r="J79" s="36" t="s">
        <v>113</v>
      </c>
      <c r="K79" s="20">
        <v>4</v>
      </c>
      <c r="L79" s="20">
        <v>7857</v>
      </c>
      <c r="M79" s="20">
        <v>13318</v>
      </c>
      <c r="N79" s="20">
        <v>4442</v>
      </c>
      <c r="O79" s="20">
        <v>174</v>
      </c>
      <c r="P79" s="20">
        <v>4696</v>
      </c>
      <c r="Q79" s="20">
        <v>10780</v>
      </c>
      <c r="R79" s="20">
        <v>4446</v>
      </c>
      <c r="S79" s="3"/>
      <c r="T79" s="3"/>
      <c r="U79" s="3"/>
      <c r="V79" s="3"/>
      <c r="W79" s="3"/>
      <c r="X79" s="4"/>
      <c r="Y79" s="4"/>
      <c r="Z79" s="4"/>
      <c r="AA79" s="102"/>
      <c r="AB79" s="102"/>
      <c r="AC79" s="102"/>
      <c r="AD79" s="102"/>
      <c r="AE79" s="102"/>
      <c r="AF79" s="102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</row>
    <row r="80" spans="1:43">
      <c r="A80" s="7" t="s">
        <v>114</v>
      </c>
      <c r="B80" s="21">
        <v>109514</v>
      </c>
      <c r="C80" s="21">
        <v>118022</v>
      </c>
      <c r="D80" s="21">
        <v>72571</v>
      </c>
      <c r="E80" s="21">
        <v>53099</v>
      </c>
      <c r="F80" s="21">
        <v>43801</v>
      </c>
      <c r="G80" s="21">
        <v>42905</v>
      </c>
      <c r="H80" s="21">
        <v>32184</v>
      </c>
      <c r="I80" s="21">
        <v>60639</v>
      </c>
      <c r="J80" s="7" t="s">
        <v>114</v>
      </c>
      <c r="K80" s="21">
        <v>115714</v>
      </c>
      <c r="L80" s="21">
        <v>206709</v>
      </c>
      <c r="M80" s="21">
        <v>120968</v>
      </c>
      <c r="N80" s="21">
        <v>109514</v>
      </c>
      <c r="O80" s="21">
        <v>108331</v>
      </c>
      <c r="P80" s="21">
        <v>197560</v>
      </c>
      <c r="Q80" s="21">
        <v>119298</v>
      </c>
      <c r="R80" s="21">
        <v>118022</v>
      </c>
      <c r="S80" s="3"/>
      <c r="T80" s="3"/>
      <c r="U80" s="3"/>
      <c r="V80" s="3"/>
      <c r="W80" s="3"/>
      <c r="X80" s="4"/>
      <c r="Y80" s="4"/>
      <c r="Z80" s="4"/>
      <c r="AA80" s="102"/>
      <c r="AB80" s="102"/>
      <c r="AC80" s="102"/>
      <c r="AD80" s="102"/>
      <c r="AE80" s="102"/>
      <c r="AF80" s="102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</row>
    <row r="81" spans="1:43">
      <c r="A81" s="38" t="s">
        <v>115</v>
      </c>
      <c r="B81" s="19">
        <v>18000</v>
      </c>
      <c r="C81" s="19">
        <v>4500</v>
      </c>
      <c r="D81" s="19">
        <v>4916</v>
      </c>
      <c r="E81" s="19">
        <v>5431</v>
      </c>
      <c r="F81" s="19">
        <v>14001</v>
      </c>
      <c r="G81" s="19">
        <v>14175</v>
      </c>
      <c r="H81" s="19">
        <v>22112</v>
      </c>
      <c r="I81" s="19">
        <v>23753</v>
      </c>
      <c r="J81" s="36" t="s">
        <v>115</v>
      </c>
      <c r="K81" s="20">
        <v>75654</v>
      </c>
      <c r="L81" s="20">
        <v>35054</v>
      </c>
      <c r="M81" s="20">
        <v>35000</v>
      </c>
      <c r="N81" s="20">
        <v>18000</v>
      </c>
      <c r="O81" s="20">
        <v>18000</v>
      </c>
      <c r="P81" s="20">
        <v>0</v>
      </c>
      <c r="Q81" s="20">
        <v>0</v>
      </c>
      <c r="R81" s="20">
        <v>4500</v>
      </c>
      <c r="S81" s="3"/>
      <c r="T81" s="3"/>
      <c r="U81" s="3"/>
      <c r="V81" s="3"/>
      <c r="W81" s="3"/>
      <c r="X81" s="4"/>
      <c r="Y81" s="4"/>
      <c r="Z81" s="4"/>
      <c r="AA81" s="102"/>
      <c r="AB81" s="102"/>
      <c r="AC81" s="102"/>
      <c r="AD81" s="102"/>
      <c r="AE81" s="102"/>
      <c r="AF81" s="102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</row>
    <row r="82" spans="1:43">
      <c r="A82" s="7" t="s">
        <v>116</v>
      </c>
      <c r="B82" s="21">
        <v>0</v>
      </c>
      <c r="C82" s="21">
        <v>0</v>
      </c>
      <c r="D82" s="21">
        <v>48</v>
      </c>
      <c r="E82" s="21">
        <v>462</v>
      </c>
      <c r="F82" s="21">
        <v>981</v>
      </c>
      <c r="G82" s="21">
        <v>1183</v>
      </c>
      <c r="H82" s="21">
        <v>1259</v>
      </c>
      <c r="I82" s="21">
        <v>683</v>
      </c>
      <c r="J82" s="7" t="s">
        <v>116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>
        <v>0</v>
      </c>
      <c r="R82" s="21">
        <v>0</v>
      </c>
      <c r="S82" s="3"/>
      <c r="T82" s="3"/>
      <c r="U82" s="3"/>
      <c r="V82" s="3"/>
      <c r="W82" s="3"/>
      <c r="X82" s="4"/>
      <c r="Y82" s="4"/>
      <c r="Z82" s="4"/>
      <c r="AA82" s="102"/>
      <c r="AB82" s="102"/>
      <c r="AC82" s="102"/>
      <c r="AD82" s="102"/>
      <c r="AE82" s="102"/>
      <c r="AF82" s="102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</row>
    <row r="83" spans="1:43">
      <c r="A83" s="10" t="s">
        <v>117</v>
      </c>
      <c r="B83" s="19">
        <v>3861</v>
      </c>
      <c r="C83" s="19">
        <v>3825</v>
      </c>
      <c r="D83" s="19">
        <v>3807</v>
      </c>
      <c r="E83" s="19">
        <v>3710</v>
      </c>
      <c r="F83" s="19">
        <v>3658</v>
      </c>
      <c r="G83" s="19">
        <v>3530</v>
      </c>
      <c r="H83" s="19">
        <v>3461</v>
      </c>
      <c r="I83" s="19">
        <v>3101</v>
      </c>
      <c r="J83" s="12" t="s">
        <v>117</v>
      </c>
      <c r="K83" s="20">
        <v>3907</v>
      </c>
      <c r="L83" s="20">
        <v>3883</v>
      </c>
      <c r="M83" s="20">
        <v>3857</v>
      </c>
      <c r="N83" s="20">
        <v>3861</v>
      </c>
      <c r="O83" s="20">
        <v>3831</v>
      </c>
      <c r="P83" s="20">
        <v>3860</v>
      </c>
      <c r="Q83" s="20">
        <v>3830</v>
      </c>
      <c r="R83" s="20">
        <v>3825</v>
      </c>
      <c r="S83" s="3"/>
      <c r="T83" s="3"/>
      <c r="U83" s="3"/>
      <c r="V83" s="3"/>
      <c r="W83" s="3"/>
      <c r="X83" s="4"/>
      <c r="Y83" s="4"/>
      <c r="Z83" s="4"/>
      <c r="AA83" s="102"/>
      <c r="AB83" s="102"/>
      <c r="AC83" s="102"/>
      <c r="AD83" s="102"/>
      <c r="AE83" s="102"/>
      <c r="AF83" s="102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</row>
    <row r="84" spans="1:43">
      <c r="A84" s="7" t="s">
        <v>118</v>
      </c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J84" s="7" t="s">
        <v>118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>
        <v>0</v>
      </c>
      <c r="R84" s="21">
        <v>0</v>
      </c>
      <c r="S84" s="3"/>
      <c r="T84" s="3"/>
      <c r="U84" s="3"/>
      <c r="V84" s="3"/>
      <c r="W84" s="3"/>
      <c r="X84" s="4"/>
      <c r="Y84" s="4"/>
      <c r="Z84" s="4"/>
      <c r="AA84" s="102"/>
      <c r="AB84" s="102"/>
      <c r="AC84" s="102"/>
      <c r="AD84" s="102"/>
      <c r="AE84" s="102"/>
      <c r="AF84" s="102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</row>
    <row r="85" spans="1:43">
      <c r="A85" s="10" t="s">
        <v>119</v>
      </c>
      <c r="B85" s="19">
        <v>0</v>
      </c>
      <c r="C85" s="19">
        <v>0</v>
      </c>
      <c r="D85" s="19">
        <v>0</v>
      </c>
      <c r="E85" s="19">
        <v>0</v>
      </c>
      <c r="F85" s="19">
        <v>0</v>
      </c>
      <c r="G85" s="19">
        <v>0</v>
      </c>
      <c r="H85" s="19">
        <v>0</v>
      </c>
      <c r="I85" s="19">
        <v>0</v>
      </c>
      <c r="J85" s="36" t="s">
        <v>119</v>
      </c>
      <c r="K85" s="20">
        <v>0</v>
      </c>
      <c r="L85" s="20">
        <v>0</v>
      </c>
      <c r="M85" s="20">
        <v>0</v>
      </c>
      <c r="N85" s="20">
        <v>0</v>
      </c>
      <c r="O85" s="20">
        <v>0</v>
      </c>
      <c r="P85" s="20">
        <v>0</v>
      </c>
      <c r="Q85" s="20">
        <v>0</v>
      </c>
      <c r="R85" s="20">
        <v>0</v>
      </c>
      <c r="S85" s="3"/>
      <c r="T85" s="3"/>
      <c r="U85" s="3"/>
      <c r="V85" s="3"/>
      <c r="W85" s="3"/>
      <c r="X85" s="4"/>
      <c r="Y85" s="4"/>
      <c r="Z85" s="4"/>
      <c r="AA85" s="102"/>
      <c r="AB85" s="102"/>
      <c r="AC85" s="102"/>
      <c r="AD85" s="102"/>
      <c r="AE85" s="102"/>
      <c r="AF85" s="102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</row>
    <row r="86" spans="1:43">
      <c r="A86" s="7" t="s">
        <v>120</v>
      </c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J86" s="7" t="s">
        <v>120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>
        <v>0</v>
      </c>
      <c r="R86" s="21">
        <v>0</v>
      </c>
      <c r="S86" s="3"/>
      <c r="T86" s="3"/>
      <c r="U86" s="3"/>
      <c r="V86" s="3"/>
      <c r="W86" s="3"/>
      <c r="X86" s="4"/>
      <c r="Y86" s="4"/>
      <c r="Z86" s="4"/>
      <c r="AA86" s="102"/>
      <c r="AB86" s="102"/>
      <c r="AC86" s="102"/>
      <c r="AD86" s="102"/>
      <c r="AE86" s="102"/>
      <c r="AF86" s="102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</row>
    <row r="87" spans="1:43">
      <c r="A87" s="10" t="s">
        <v>121</v>
      </c>
      <c r="B87" s="19">
        <v>439</v>
      </c>
      <c r="C87" s="19">
        <v>748</v>
      </c>
      <c r="D87" s="19">
        <v>1001</v>
      </c>
      <c r="E87" s="19">
        <v>1479</v>
      </c>
      <c r="F87" s="19">
        <v>2241</v>
      </c>
      <c r="G87" s="19">
        <v>3810</v>
      </c>
      <c r="H87" s="19">
        <v>2893</v>
      </c>
      <c r="I87" s="19">
        <v>412</v>
      </c>
      <c r="J87" s="12" t="s">
        <v>121</v>
      </c>
      <c r="K87" s="20">
        <v>225</v>
      </c>
      <c r="L87" s="20">
        <v>250</v>
      </c>
      <c r="M87" s="20">
        <v>380</v>
      </c>
      <c r="N87" s="20">
        <v>439</v>
      </c>
      <c r="O87" s="20">
        <v>495</v>
      </c>
      <c r="P87" s="20">
        <v>503</v>
      </c>
      <c r="Q87" s="20">
        <v>695</v>
      </c>
      <c r="R87" s="20">
        <v>748</v>
      </c>
      <c r="S87" s="3"/>
      <c r="T87" s="3"/>
      <c r="U87" s="3"/>
      <c r="V87" s="3"/>
      <c r="W87" s="3"/>
      <c r="X87" s="4"/>
      <c r="Y87" s="4"/>
      <c r="Z87" s="4"/>
      <c r="AA87" s="102"/>
      <c r="AB87" s="102"/>
      <c r="AC87" s="102"/>
      <c r="AD87" s="102"/>
      <c r="AE87" s="102"/>
      <c r="AF87" s="102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</row>
    <row r="88" spans="1:43">
      <c r="A88" s="7" t="s">
        <v>122</v>
      </c>
      <c r="B88" s="21">
        <v>4300</v>
      </c>
      <c r="C88" s="21">
        <v>4572</v>
      </c>
      <c r="D88" s="21">
        <v>4856</v>
      </c>
      <c r="E88" s="21">
        <v>5651</v>
      </c>
      <c r="F88" s="21">
        <v>6879</v>
      </c>
      <c r="G88" s="21">
        <v>8523</v>
      </c>
      <c r="H88" s="21">
        <v>7613</v>
      </c>
      <c r="I88" s="21">
        <v>4196</v>
      </c>
      <c r="J88" s="7" t="s">
        <v>122</v>
      </c>
      <c r="K88" s="21">
        <v>4132</v>
      </c>
      <c r="L88" s="21">
        <v>4133</v>
      </c>
      <c r="M88" s="21">
        <v>4237</v>
      </c>
      <c r="N88" s="21">
        <v>4300</v>
      </c>
      <c r="O88" s="21">
        <v>4326</v>
      </c>
      <c r="P88" s="21">
        <v>4363</v>
      </c>
      <c r="Q88" s="21">
        <v>4526</v>
      </c>
      <c r="R88" s="21">
        <v>4572</v>
      </c>
      <c r="S88" s="3"/>
      <c r="T88" s="3"/>
      <c r="U88" s="3"/>
      <c r="V88" s="3"/>
      <c r="W88" s="3"/>
      <c r="X88" s="4"/>
      <c r="Y88" s="4"/>
      <c r="Z88" s="4"/>
      <c r="AA88" s="102"/>
      <c r="AB88" s="102"/>
      <c r="AC88" s="102"/>
      <c r="AD88" s="102"/>
      <c r="AE88" s="102"/>
      <c r="AF88" s="102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</row>
    <row r="89" spans="1:43">
      <c r="A89" s="10" t="s">
        <v>123</v>
      </c>
      <c r="B89" s="19">
        <v>131814</v>
      </c>
      <c r="C89" s="19">
        <v>127095</v>
      </c>
      <c r="D89" s="19">
        <v>82344</v>
      </c>
      <c r="E89" s="19">
        <v>64182</v>
      </c>
      <c r="F89" s="19">
        <v>64681</v>
      </c>
      <c r="G89" s="19">
        <v>65604</v>
      </c>
      <c r="H89" s="19">
        <v>61909</v>
      </c>
      <c r="I89" s="19">
        <v>88588</v>
      </c>
      <c r="J89" s="36" t="s">
        <v>123</v>
      </c>
      <c r="K89" s="20">
        <v>195500</v>
      </c>
      <c r="L89" s="20">
        <v>245896</v>
      </c>
      <c r="M89" s="20">
        <v>160205</v>
      </c>
      <c r="N89" s="20">
        <v>131814</v>
      </c>
      <c r="O89" s="20">
        <v>130657</v>
      </c>
      <c r="P89" s="20">
        <v>201923</v>
      </c>
      <c r="Q89" s="20">
        <v>123824</v>
      </c>
      <c r="R89" s="20">
        <v>127095</v>
      </c>
      <c r="S89" s="3"/>
      <c r="T89" s="3"/>
      <c r="U89" s="3"/>
      <c r="V89" s="3"/>
      <c r="W89" s="3"/>
      <c r="X89" s="4"/>
      <c r="Y89" s="4"/>
      <c r="Z89" s="4"/>
      <c r="AA89" s="102"/>
      <c r="AB89" s="102"/>
      <c r="AC89" s="102"/>
      <c r="AD89" s="102"/>
      <c r="AE89" s="102"/>
      <c r="AF89" s="102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</row>
    <row r="90" spans="1:43">
      <c r="A90" s="7" t="s">
        <v>124</v>
      </c>
      <c r="B90" s="21">
        <v>629594</v>
      </c>
      <c r="C90" s="21">
        <v>574145</v>
      </c>
      <c r="D90" s="21">
        <v>495083</v>
      </c>
      <c r="E90" s="21">
        <v>476377</v>
      </c>
      <c r="F90" s="21">
        <v>487091</v>
      </c>
      <c r="G90" s="21">
        <v>507981</v>
      </c>
      <c r="H90" s="21">
        <v>445630</v>
      </c>
      <c r="I90" s="21">
        <v>398965</v>
      </c>
      <c r="J90" s="7" t="s">
        <v>124</v>
      </c>
      <c r="K90" s="21">
        <v>674543</v>
      </c>
      <c r="L90" s="21">
        <v>627465</v>
      </c>
      <c r="M90" s="21">
        <v>660932</v>
      </c>
      <c r="N90" s="21">
        <v>629594</v>
      </c>
      <c r="O90" s="21">
        <v>598628</v>
      </c>
      <c r="P90" s="21">
        <v>563950</v>
      </c>
      <c r="Q90" s="21">
        <v>607674</v>
      </c>
      <c r="R90" s="21">
        <v>574145</v>
      </c>
      <c r="S90" s="3"/>
      <c r="T90" s="3"/>
      <c r="U90" s="3"/>
      <c r="V90" s="3"/>
      <c r="W90" s="3"/>
      <c r="X90" s="4"/>
      <c r="Y90" s="4"/>
      <c r="Z90" s="4"/>
      <c r="AA90" s="102"/>
      <c r="AB90" s="102"/>
      <c r="AC90" s="102"/>
      <c r="AD90" s="102"/>
      <c r="AE90" s="102"/>
      <c r="AF90" s="102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</row>
    <row r="91" spans="1:43">
      <c r="A91" s="10" t="s">
        <v>125</v>
      </c>
      <c r="B91" s="19">
        <v>259162</v>
      </c>
      <c r="C91" s="19">
        <v>259101</v>
      </c>
      <c r="D91" s="19">
        <v>259027</v>
      </c>
      <c r="E91" s="19">
        <v>256254</v>
      </c>
      <c r="F91" s="19">
        <v>264271</v>
      </c>
      <c r="G91" s="19">
        <v>258297</v>
      </c>
      <c r="H91" s="19">
        <v>247300</v>
      </c>
      <c r="I91" s="19">
        <v>232520</v>
      </c>
      <c r="J91" s="36" t="s">
        <v>125</v>
      </c>
      <c r="K91" s="20">
        <v>259220</v>
      </c>
      <c r="L91" s="20">
        <v>259207</v>
      </c>
      <c r="M91" s="20">
        <v>259206</v>
      </c>
      <c r="N91" s="20">
        <v>259162</v>
      </c>
      <c r="O91" s="20">
        <v>259151</v>
      </c>
      <c r="P91" s="20">
        <v>259143</v>
      </c>
      <c r="Q91" s="20">
        <v>259142</v>
      </c>
      <c r="R91" s="20">
        <v>259101</v>
      </c>
      <c r="S91" s="3"/>
      <c r="T91" s="3"/>
      <c r="U91" s="3"/>
      <c r="V91" s="3"/>
      <c r="W91" s="3"/>
      <c r="X91" s="4"/>
      <c r="Y91" s="4"/>
      <c r="Z91" s="4"/>
      <c r="AA91" s="102"/>
      <c r="AB91" s="102"/>
      <c r="AC91" s="102"/>
      <c r="AD91" s="102"/>
      <c r="AE91" s="102"/>
      <c r="AF91" s="102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</row>
    <row r="92" spans="1:43">
      <c r="A92" s="7" t="s">
        <v>126</v>
      </c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J92" s="7" t="s">
        <v>126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>
        <v>0</v>
      </c>
      <c r="R92" s="21">
        <v>0</v>
      </c>
      <c r="S92" s="3"/>
      <c r="T92" s="3"/>
      <c r="U92" s="3"/>
      <c r="V92" s="3"/>
      <c r="W92" s="3"/>
      <c r="X92" s="4"/>
      <c r="Y92" s="4"/>
      <c r="Z92" s="4"/>
      <c r="AA92" s="102"/>
      <c r="AB92" s="102"/>
      <c r="AC92" s="102"/>
      <c r="AD92" s="102"/>
      <c r="AE92" s="102"/>
      <c r="AF92" s="102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</row>
    <row r="93" spans="1:43">
      <c r="A93" s="10" t="s">
        <v>127</v>
      </c>
      <c r="B93" s="19">
        <v>55846</v>
      </c>
      <c r="C93" s="19">
        <v>55698</v>
      </c>
      <c r="D93" s="19">
        <v>55486</v>
      </c>
      <c r="E93" s="19">
        <v>49875</v>
      </c>
      <c r="F93" s="19">
        <v>53733</v>
      </c>
      <c r="G93" s="19">
        <v>54107</v>
      </c>
      <c r="H93" s="19">
        <v>57118</v>
      </c>
      <c r="I93" s="19">
        <v>56537</v>
      </c>
      <c r="J93" s="36" t="s">
        <v>127</v>
      </c>
      <c r="K93" s="20">
        <v>56074</v>
      </c>
      <c r="L93" s="20">
        <v>56025</v>
      </c>
      <c r="M93" s="20">
        <v>56008</v>
      </c>
      <c r="N93" s="20">
        <v>55846</v>
      </c>
      <c r="O93" s="20">
        <v>55690</v>
      </c>
      <c r="P93" s="20">
        <v>55802</v>
      </c>
      <c r="Q93" s="20">
        <v>55781</v>
      </c>
      <c r="R93" s="20">
        <v>55698</v>
      </c>
      <c r="S93" s="3"/>
      <c r="T93" s="3"/>
      <c r="U93" s="3"/>
      <c r="V93" s="3"/>
      <c r="W93" s="3"/>
      <c r="X93" s="4"/>
      <c r="Y93" s="4"/>
      <c r="Z93" s="4"/>
      <c r="AA93" s="102"/>
      <c r="AB93" s="102"/>
      <c r="AC93" s="102"/>
      <c r="AD93" s="102"/>
      <c r="AE93" s="102"/>
      <c r="AF93" s="102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</row>
    <row r="94" spans="1:43">
      <c r="A94" s="7" t="s">
        <v>128</v>
      </c>
      <c r="B94" s="21">
        <v>102400</v>
      </c>
      <c r="C94" s="21">
        <v>86239</v>
      </c>
      <c r="D94" s="21">
        <v>77318</v>
      </c>
      <c r="E94" s="21">
        <v>67324</v>
      </c>
      <c r="F94" s="21">
        <v>56407</v>
      </c>
      <c r="G94" s="21">
        <v>43706</v>
      </c>
      <c r="H94" s="21">
        <v>34348</v>
      </c>
      <c r="I94" s="21">
        <v>25528</v>
      </c>
      <c r="J94" s="7" t="s">
        <v>128</v>
      </c>
      <c r="K94" s="21">
        <v>115820</v>
      </c>
      <c r="L94" s="21">
        <v>115820</v>
      </c>
      <c r="M94" s="21">
        <v>102400</v>
      </c>
      <c r="N94" s="21">
        <v>102400</v>
      </c>
      <c r="O94" s="21">
        <v>102400</v>
      </c>
      <c r="P94" s="21">
        <v>102400</v>
      </c>
      <c r="Q94" s="21">
        <v>86239</v>
      </c>
      <c r="R94" s="21">
        <v>86239</v>
      </c>
      <c r="S94" s="3"/>
      <c r="T94" s="3"/>
      <c r="U94" s="3"/>
      <c r="V94" s="3"/>
      <c r="W94" s="3"/>
      <c r="X94" s="4"/>
      <c r="Y94" s="4"/>
      <c r="Z94" s="4"/>
      <c r="AA94" s="102"/>
      <c r="AB94" s="102"/>
      <c r="AC94" s="102"/>
      <c r="AD94" s="102"/>
      <c r="AE94" s="102"/>
      <c r="AF94" s="102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</row>
    <row r="95" spans="1:43">
      <c r="A95" s="10" t="s">
        <v>129</v>
      </c>
      <c r="B95" s="19">
        <v>6434</v>
      </c>
      <c r="C95" s="19">
        <v>1313</v>
      </c>
      <c r="D95" s="19">
        <v>0</v>
      </c>
      <c r="E95" s="19">
        <v>392</v>
      </c>
      <c r="F95" s="19">
        <v>630</v>
      </c>
      <c r="G95" s="19">
        <v>641</v>
      </c>
      <c r="H95" s="19">
        <v>2226</v>
      </c>
      <c r="I95" s="19">
        <v>0</v>
      </c>
      <c r="J95" s="36" t="s">
        <v>129</v>
      </c>
      <c r="K95" s="20">
        <v>7606</v>
      </c>
      <c r="L95" s="20">
        <v>7606</v>
      </c>
      <c r="M95" s="20">
        <v>6434</v>
      </c>
      <c r="N95" s="20">
        <v>6434</v>
      </c>
      <c r="O95" s="20">
        <v>6434</v>
      </c>
      <c r="P95" s="20">
        <v>6434</v>
      </c>
      <c r="Q95" s="20">
        <v>1313</v>
      </c>
      <c r="R95" s="20">
        <v>1313</v>
      </c>
      <c r="S95" s="3"/>
      <c r="T95" s="3"/>
      <c r="U95" s="3"/>
      <c r="V95" s="3"/>
      <c r="W95" s="3"/>
      <c r="X95" s="4"/>
      <c r="Y95" s="4"/>
      <c r="Z95" s="4"/>
      <c r="AA95" s="102"/>
      <c r="AB95" s="102"/>
      <c r="AC95" s="102"/>
      <c r="AD95" s="102"/>
      <c r="AE95" s="102"/>
      <c r="AF95" s="102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</row>
    <row r="96" spans="1:43">
      <c r="A96" s="7" t="s">
        <v>130</v>
      </c>
      <c r="B96" s="21">
        <v>213357</v>
      </c>
      <c r="C96" s="21">
        <v>178227</v>
      </c>
      <c r="D96" s="21">
        <v>104565</v>
      </c>
      <c r="E96" s="21">
        <v>102337</v>
      </c>
      <c r="F96" s="21">
        <v>161828</v>
      </c>
      <c r="G96" s="21">
        <v>152778</v>
      </c>
      <c r="H96" s="21">
        <v>106196</v>
      </c>
      <c r="I96" s="21">
        <v>88202</v>
      </c>
      <c r="J96" s="7" t="s">
        <v>130</v>
      </c>
      <c r="K96" s="21">
        <v>245606</v>
      </c>
      <c r="L96" s="21">
        <v>196303</v>
      </c>
      <c r="M96" s="21">
        <v>246831</v>
      </c>
      <c r="N96" s="21">
        <v>213357</v>
      </c>
      <c r="O96" s="21">
        <v>181838</v>
      </c>
      <c r="P96" s="21">
        <v>151444</v>
      </c>
      <c r="Q96" s="21">
        <v>214505</v>
      </c>
      <c r="R96" s="21">
        <v>178227</v>
      </c>
      <c r="S96" s="3"/>
      <c r="T96" s="3"/>
      <c r="U96" s="3"/>
      <c r="V96" s="3"/>
      <c r="W96" s="3"/>
      <c r="X96" s="4"/>
      <c r="Y96" s="4"/>
      <c r="Z96" s="4"/>
      <c r="AA96" s="102"/>
      <c r="AB96" s="102"/>
      <c r="AC96" s="102"/>
      <c r="AD96" s="102"/>
      <c r="AE96" s="102"/>
      <c r="AF96" s="102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</row>
    <row r="97" spans="1:43">
      <c r="A97" s="10" t="s">
        <v>131</v>
      </c>
      <c r="B97" s="19">
        <v>-1173</v>
      </c>
      <c r="C97" s="19">
        <v>109</v>
      </c>
      <c r="D97" s="19">
        <v>454</v>
      </c>
      <c r="E97" s="19">
        <v>-287</v>
      </c>
      <c r="F97" s="19">
        <v>681</v>
      </c>
      <c r="G97" s="19">
        <v>562</v>
      </c>
      <c r="H97" s="19">
        <v>0</v>
      </c>
      <c r="I97" s="19">
        <v>0</v>
      </c>
      <c r="J97" s="36" t="s">
        <v>131</v>
      </c>
      <c r="K97" s="20">
        <v>268</v>
      </c>
      <c r="L97" s="20">
        <v>335</v>
      </c>
      <c r="M97" s="20">
        <v>-883</v>
      </c>
      <c r="N97" s="20">
        <v>-1173</v>
      </c>
      <c r="O97" s="20">
        <v>-1227</v>
      </c>
      <c r="P97" s="20">
        <v>188</v>
      </c>
      <c r="Q97" s="20">
        <v>45</v>
      </c>
      <c r="R97" s="20">
        <v>109</v>
      </c>
      <c r="S97" s="3"/>
      <c r="T97" s="3"/>
      <c r="U97" s="3"/>
      <c r="V97" s="3"/>
      <c r="W97" s="3"/>
      <c r="X97" s="4"/>
      <c r="Y97" s="4"/>
      <c r="Z97" s="4"/>
      <c r="AA97" s="102"/>
      <c r="AB97" s="102"/>
      <c r="AC97" s="102"/>
      <c r="AD97" s="102"/>
      <c r="AE97" s="102"/>
      <c r="AF97" s="102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</row>
    <row r="98" spans="1:43">
      <c r="A98" s="7" t="s">
        <v>132</v>
      </c>
      <c r="B98" s="21">
        <v>761408</v>
      </c>
      <c r="C98" s="21">
        <v>701240</v>
      </c>
      <c r="D98" s="21">
        <v>577427</v>
      </c>
      <c r="E98" s="21">
        <v>540559</v>
      </c>
      <c r="F98" s="21">
        <v>551773</v>
      </c>
      <c r="G98" s="21">
        <v>573585</v>
      </c>
      <c r="H98" s="21">
        <v>507540</v>
      </c>
      <c r="I98" s="21">
        <v>487553</v>
      </c>
      <c r="J98" s="7" t="s">
        <v>132</v>
      </c>
      <c r="K98" s="21">
        <v>870043</v>
      </c>
      <c r="L98" s="21">
        <v>873361</v>
      </c>
      <c r="M98" s="21">
        <v>821137</v>
      </c>
      <c r="N98" s="21">
        <v>761408</v>
      </c>
      <c r="O98" s="21">
        <v>729285</v>
      </c>
      <c r="P98" s="21">
        <v>765873</v>
      </c>
      <c r="Q98" s="21">
        <v>731498</v>
      </c>
      <c r="R98" s="21">
        <v>701240</v>
      </c>
      <c r="S98" s="3"/>
      <c r="T98" s="3"/>
      <c r="U98" s="3"/>
      <c r="V98" s="3"/>
      <c r="W98" s="3"/>
      <c r="X98" s="4"/>
      <c r="Y98" s="4"/>
      <c r="Z98" s="4"/>
      <c r="AA98" s="102"/>
      <c r="AB98" s="102"/>
      <c r="AC98" s="102"/>
      <c r="AD98" s="102"/>
      <c r="AE98" s="102"/>
      <c r="AF98" s="102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</row>
    <row r="99" spans="1:43">
      <c r="A99" s="10" t="s">
        <v>133</v>
      </c>
      <c r="B99" s="39">
        <v>44.27</v>
      </c>
      <c r="C99" s="39">
        <v>48.42</v>
      </c>
      <c r="D99" s="39">
        <v>44.32</v>
      </c>
      <c r="E99" s="39">
        <v>42.94</v>
      </c>
      <c r="F99" s="39">
        <v>43.81</v>
      </c>
      <c r="G99" s="39">
        <v>47.7</v>
      </c>
      <c r="H99" s="39">
        <v>43.56</v>
      </c>
      <c r="I99" s="39">
        <v>43.03</v>
      </c>
      <c r="J99" s="12" t="s">
        <v>133</v>
      </c>
      <c r="K99" s="40">
        <v>47.38</v>
      </c>
      <c r="L99" s="40">
        <v>47.68</v>
      </c>
      <c r="M99" s="40">
        <v>46.52</v>
      </c>
      <c r="N99" s="40">
        <v>43.86</v>
      </c>
      <c r="O99" s="40">
        <v>40.880000000000003</v>
      </c>
      <c r="P99" s="40">
        <v>44.57</v>
      </c>
      <c r="Q99" s="40">
        <v>47.84</v>
      </c>
      <c r="R99" s="40">
        <v>48.4</v>
      </c>
      <c r="S99" s="3"/>
      <c r="T99" s="3"/>
      <c r="U99" s="3"/>
      <c r="V99" s="3"/>
      <c r="W99" s="3"/>
      <c r="X99" s="4"/>
      <c r="Y99" s="4"/>
      <c r="Z99" s="4"/>
      <c r="AA99" s="102"/>
      <c r="AB99" s="102"/>
      <c r="AC99" s="102"/>
      <c r="AD99" s="102"/>
      <c r="AE99" s="102"/>
      <c r="AF99" s="102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</row>
    <row r="100" spans="1:43">
      <c r="A100" s="7" t="s">
        <v>134</v>
      </c>
      <c r="B100" s="8">
        <v>33.21</v>
      </c>
      <c r="C100" s="8">
        <v>38.049999999999997</v>
      </c>
      <c r="D100" s="8">
        <v>33.08</v>
      </c>
      <c r="E100" s="8">
        <v>33.03</v>
      </c>
      <c r="F100" s="8">
        <v>35.79</v>
      </c>
      <c r="G100" s="8">
        <v>40.24</v>
      </c>
      <c r="H100" s="8">
        <v>35.15</v>
      </c>
      <c r="I100" s="8">
        <v>33.92</v>
      </c>
      <c r="J100" s="7" t="s">
        <v>134</v>
      </c>
      <c r="K100" s="8">
        <v>36.57</v>
      </c>
      <c r="L100" s="8">
        <v>36.14</v>
      </c>
      <c r="M100" s="8">
        <v>33.61</v>
      </c>
      <c r="N100" s="8">
        <v>31.85</v>
      </c>
      <c r="O100" s="8">
        <v>29.8</v>
      </c>
      <c r="P100" s="8">
        <v>34.03</v>
      </c>
      <c r="Q100" s="8">
        <v>37.200000000000003</v>
      </c>
      <c r="R100" s="8">
        <v>37.51</v>
      </c>
      <c r="S100" s="3"/>
      <c r="T100" s="3"/>
      <c r="U100" s="3"/>
      <c r="V100" s="3"/>
      <c r="W100" s="3"/>
      <c r="X100" s="4"/>
      <c r="Y100" s="4"/>
      <c r="Z100" s="4"/>
      <c r="AA100" s="102"/>
      <c r="AB100" s="102"/>
      <c r="AC100" s="102"/>
      <c r="AD100" s="102"/>
      <c r="AE100" s="102"/>
      <c r="AF100" s="102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</row>
    <row r="101" spans="1:43">
      <c r="A101" s="10" t="s">
        <v>135</v>
      </c>
      <c r="B101" s="39">
        <v>34.6</v>
      </c>
      <c r="C101" s="39">
        <v>41.6</v>
      </c>
      <c r="D101" s="39">
        <v>33.24</v>
      </c>
      <c r="E101" s="39">
        <v>34.42</v>
      </c>
      <c r="F101" s="39">
        <v>38.5</v>
      </c>
      <c r="G101" s="39">
        <v>42.95</v>
      </c>
      <c r="H101" s="39">
        <v>35.46</v>
      </c>
      <c r="I101" s="39">
        <v>35.85</v>
      </c>
      <c r="J101" s="12" t="s">
        <v>135</v>
      </c>
      <c r="K101" s="40">
        <v>38.299999999999997</v>
      </c>
      <c r="L101" s="40">
        <v>38.020000000000003</v>
      </c>
      <c r="M101" s="40">
        <v>34.270000000000003</v>
      </c>
      <c r="N101" s="40">
        <v>32.590000000000003</v>
      </c>
      <c r="O101" s="40">
        <v>30.66</v>
      </c>
      <c r="P101" s="40">
        <v>36.08</v>
      </c>
      <c r="Q101" s="40">
        <v>39.090000000000003</v>
      </c>
      <c r="R101" s="40">
        <v>39.89</v>
      </c>
      <c r="S101" s="3"/>
      <c r="T101" s="3"/>
      <c r="U101" s="3"/>
      <c r="V101" s="3"/>
      <c r="W101" s="3"/>
      <c r="X101" s="4"/>
      <c r="Y101" s="4"/>
      <c r="Z101" s="4"/>
      <c r="AA101" s="102"/>
      <c r="AB101" s="102"/>
      <c r="AC101" s="102"/>
      <c r="AD101" s="102"/>
      <c r="AE101" s="102"/>
      <c r="AF101" s="102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</row>
    <row r="102" spans="1:43">
      <c r="A102" s="7" t="s">
        <v>136</v>
      </c>
      <c r="B102" s="8">
        <v>32.090000000000003</v>
      </c>
      <c r="C102" s="8">
        <v>39.71</v>
      </c>
      <c r="D102" s="8">
        <v>31.22</v>
      </c>
      <c r="E102" s="8">
        <v>31.06</v>
      </c>
      <c r="F102" s="8">
        <v>34.81</v>
      </c>
      <c r="G102" s="8">
        <v>40.46</v>
      </c>
      <c r="H102" s="8">
        <v>35.369999999999997</v>
      </c>
      <c r="I102" s="8">
        <v>36.06</v>
      </c>
      <c r="J102" s="7" t="s">
        <v>136</v>
      </c>
      <c r="K102" s="8">
        <v>35.31</v>
      </c>
      <c r="L102" s="8">
        <v>33.049999999999997</v>
      </c>
      <c r="M102" s="8">
        <v>32.11</v>
      </c>
      <c r="N102" s="8">
        <v>30.65</v>
      </c>
      <c r="O102" s="8">
        <v>29</v>
      </c>
      <c r="P102" s="8">
        <v>33.340000000000003</v>
      </c>
      <c r="Q102" s="8">
        <v>35.380000000000003</v>
      </c>
      <c r="R102" s="8">
        <v>38.11</v>
      </c>
      <c r="S102" s="3"/>
      <c r="T102" s="3"/>
      <c r="U102" s="3"/>
      <c r="V102" s="3"/>
      <c r="W102" s="3"/>
      <c r="X102" s="4"/>
      <c r="Y102" s="4"/>
      <c r="Z102" s="4"/>
      <c r="AA102" s="102"/>
      <c r="AB102" s="102"/>
      <c r="AC102" s="102"/>
      <c r="AD102" s="102"/>
      <c r="AE102" s="102"/>
      <c r="AF102" s="102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</row>
    <row r="103" spans="1:43">
      <c r="A103" s="10" t="s">
        <v>19</v>
      </c>
      <c r="B103" s="16">
        <v>24.29</v>
      </c>
      <c r="C103" s="16">
        <v>22.16</v>
      </c>
      <c r="D103" s="16">
        <v>19.11</v>
      </c>
      <c r="E103" s="16">
        <v>18.59</v>
      </c>
      <c r="F103" s="16">
        <v>19.03</v>
      </c>
      <c r="G103" s="16">
        <v>19.690000000000001</v>
      </c>
      <c r="H103" s="16">
        <v>18.04</v>
      </c>
      <c r="I103" s="16">
        <v>17.190000000000001</v>
      </c>
      <c r="J103" s="12" t="s">
        <v>19</v>
      </c>
      <c r="K103" s="41">
        <v>26.02</v>
      </c>
      <c r="L103" s="41">
        <v>24.21</v>
      </c>
      <c r="M103" s="41">
        <v>25.5</v>
      </c>
      <c r="N103" s="41">
        <v>24.29</v>
      </c>
      <c r="O103" s="41">
        <v>23.1</v>
      </c>
      <c r="P103" s="41">
        <v>21.76</v>
      </c>
      <c r="Q103" s="41">
        <v>23.45</v>
      </c>
      <c r="R103" s="41">
        <v>22.16</v>
      </c>
      <c r="S103" s="3"/>
      <c r="T103" s="3"/>
      <c r="U103" s="3"/>
      <c r="V103" s="3"/>
      <c r="W103" s="3"/>
      <c r="X103" s="4"/>
      <c r="Y103" s="4"/>
      <c r="Z103" s="4"/>
      <c r="AA103" s="102"/>
      <c r="AB103" s="102"/>
      <c r="AC103" s="102"/>
      <c r="AD103" s="102"/>
      <c r="AE103" s="102"/>
      <c r="AF103" s="102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</row>
    <row r="104" spans="1:43">
      <c r="A104" s="7" t="s">
        <v>137</v>
      </c>
      <c r="B104" s="42">
        <v>16.14</v>
      </c>
      <c r="C104" s="42">
        <v>15.71</v>
      </c>
      <c r="D104" s="42">
        <v>11.03</v>
      </c>
      <c r="E104" s="42">
        <v>12.56</v>
      </c>
      <c r="F104" s="42">
        <v>12.26</v>
      </c>
      <c r="G104" s="42">
        <v>12.17</v>
      </c>
      <c r="H104" s="42">
        <v>10.71</v>
      </c>
      <c r="I104" s="42">
        <v>11.03</v>
      </c>
      <c r="J104" s="7" t="s">
        <v>137</v>
      </c>
      <c r="K104" s="42">
        <v>5.39</v>
      </c>
      <c r="L104" s="42">
        <v>4.88</v>
      </c>
      <c r="M104" s="42">
        <v>4.0199999999999996</v>
      </c>
      <c r="N104" s="42">
        <v>3.98</v>
      </c>
      <c r="O104" s="42">
        <v>4.04</v>
      </c>
      <c r="P104" s="42">
        <v>4.16</v>
      </c>
      <c r="Q104" s="42">
        <v>3.96</v>
      </c>
      <c r="R104" s="42">
        <v>4.12</v>
      </c>
      <c r="S104" s="3"/>
      <c r="T104" s="3"/>
      <c r="U104" s="3"/>
      <c r="V104" s="3"/>
      <c r="W104" s="3"/>
      <c r="X104" s="4"/>
      <c r="Y104" s="4"/>
      <c r="Z104" s="4"/>
      <c r="AA104" s="102"/>
      <c r="AB104" s="102"/>
      <c r="AC104" s="102"/>
      <c r="AD104" s="102"/>
      <c r="AE104" s="102"/>
      <c r="AF104" s="102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</row>
    <row r="105" spans="1:43">
      <c r="A105" s="10" t="s">
        <v>138</v>
      </c>
      <c r="B105" s="16">
        <v>5.36</v>
      </c>
      <c r="C105" s="16">
        <v>5.98</v>
      </c>
      <c r="D105" s="16">
        <v>3.65</v>
      </c>
      <c r="E105" s="16">
        <v>4.1500000000000004</v>
      </c>
      <c r="F105" s="16">
        <v>4.3899999999999997</v>
      </c>
      <c r="G105" s="16">
        <v>4.9000000000000004</v>
      </c>
      <c r="H105" s="16">
        <v>3.77</v>
      </c>
      <c r="I105" s="16">
        <v>3.74</v>
      </c>
      <c r="J105" s="12" t="s">
        <v>138</v>
      </c>
      <c r="K105" s="41">
        <v>1.97</v>
      </c>
      <c r="L105" s="41">
        <v>1.76</v>
      </c>
      <c r="M105" s="41">
        <v>1.35</v>
      </c>
      <c r="N105" s="41">
        <v>1.27</v>
      </c>
      <c r="O105" s="41">
        <v>1.21</v>
      </c>
      <c r="P105" s="41">
        <v>1.42</v>
      </c>
      <c r="Q105" s="41">
        <v>1.47</v>
      </c>
      <c r="R105" s="41">
        <v>1.55</v>
      </c>
      <c r="S105" s="3"/>
      <c r="T105" s="3"/>
      <c r="U105" s="3"/>
      <c r="V105" s="3"/>
      <c r="W105" s="3"/>
      <c r="X105" s="4"/>
      <c r="Y105" s="4"/>
      <c r="Z105" s="4"/>
      <c r="AA105" s="102"/>
      <c r="AB105" s="102"/>
      <c r="AC105" s="102"/>
      <c r="AD105" s="102"/>
      <c r="AE105" s="102"/>
      <c r="AF105" s="102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</row>
    <row r="106" spans="1:43">
      <c r="A106" s="7" t="s">
        <v>139</v>
      </c>
      <c r="B106" s="42">
        <v>5.58</v>
      </c>
      <c r="C106" s="42">
        <v>6.53</v>
      </c>
      <c r="D106" s="42">
        <v>3.68</v>
      </c>
      <c r="E106" s="42">
        <v>4.2699999999999996</v>
      </c>
      <c r="F106" s="42">
        <v>4.58</v>
      </c>
      <c r="G106" s="42">
        <v>5.23</v>
      </c>
      <c r="H106" s="42">
        <v>3.8</v>
      </c>
      <c r="I106" s="42">
        <v>3.95</v>
      </c>
      <c r="J106" s="7" t="s">
        <v>139</v>
      </c>
      <c r="K106" s="42">
        <v>2.06</v>
      </c>
      <c r="L106" s="42">
        <v>1.86</v>
      </c>
      <c r="M106" s="42">
        <v>1.38</v>
      </c>
      <c r="N106" s="42">
        <v>1.3</v>
      </c>
      <c r="O106" s="42">
        <v>1.24</v>
      </c>
      <c r="P106" s="42">
        <v>1.5</v>
      </c>
      <c r="Q106" s="42">
        <v>1.55</v>
      </c>
      <c r="R106" s="42">
        <v>1.65</v>
      </c>
      <c r="S106" s="3"/>
      <c r="T106" s="3"/>
      <c r="U106" s="3"/>
      <c r="V106" s="3"/>
      <c r="W106" s="3"/>
      <c r="X106" s="4"/>
      <c r="Y106" s="4"/>
      <c r="Z106" s="4"/>
      <c r="AA106" s="102"/>
      <c r="AB106" s="102"/>
      <c r="AC106" s="102"/>
      <c r="AD106" s="102"/>
      <c r="AE106" s="102"/>
      <c r="AF106" s="102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</row>
    <row r="107" spans="1:43">
      <c r="A107" s="10" t="s">
        <v>8</v>
      </c>
      <c r="B107" s="39">
        <v>22.3</v>
      </c>
      <c r="C107" s="39">
        <v>30.23</v>
      </c>
      <c r="D107" s="39">
        <v>18.37</v>
      </c>
      <c r="E107" s="39">
        <v>20.74</v>
      </c>
      <c r="F107" s="39">
        <v>21.94</v>
      </c>
      <c r="G107" s="39">
        <v>26.69</v>
      </c>
      <c r="H107" s="39">
        <v>22.16</v>
      </c>
      <c r="I107" s="39">
        <v>25.36</v>
      </c>
      <c r="J107" s="12" t="s">
        <v>8</v>
      </c>
      <c r="K107" s="40">
        <v>7.57</v>
      </c>
      <c r="L107" s="40">
        <v>6.49</v>
      </c>
      <c r="M107" s="40">
        <v>5.19</v>
      </c>
      <c r="N107" s="40">
        <v>5.14</v>
      </c>
      <c r="O107" s="40">
        <v>5.23</v>
      </c>
      <c r="P107" s="40">
        <v>6.14</v>
      </c>
      <c r="Q107" s="40">
        <v>6.14</v>
      </c>
      <c r="R107" s="40">
        <v>7.33</v>
      </c>
      <c r="S107" s="3"/>
      <c r="T107" s="3"/>
      <c r="U107" s="3"/>
      <c r="V107" s="3"/>
      <c r="W107" s="3"/>
      <c r="X107" s="4"/>
      <c r="Y107" s="4"/>
      <c r="Z107" s="4"/>
      <c r="AA107" s="102"/>
      <c r="AB107" s="102"/>
      <c r="AC107" s="102"/>
      <c r="AD107" s="102"/>
      <c r="AE107" s="102"/>
      <c r="AF107" s="102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</row>
    <row r="108" spans="1:43">
      <c r="A108" s="7" t="s">
        <v>140</v>
      </c>
      <c r="B108" s="8">
        <v>18.399999999999999</v>
      </c>
      <c r="C108" s="8">
        <v>25.3</v>
      </c>
      <c r="D108" s="8">
        <v>15.98</v>
      </c>
      <c r="E108" s="8">
        <v>18.350000000000001</v>
      </c>
      <c r="F108" s="8">
        <v>19.48</v>
      </c>
      <c r="G108" s="8">
        <v>23.63</v>
      </c>
      <c r="H108" s="8">
        <v>19.170000000000002</v>
      </c>
      <c r="I108" s="8">
        <v>21.12</v>
      </c>
      <c r="J108" s="7" t="s">
        <v>140</v>
      </c>
      <c r="K108" s="8">
        <v>5.68</v>
      </c>
      <c r="L108" s="8">
        <v>4.95</v>
      </c>
      <c r="M108" s="8">
        <v>4.25</v>
      </c>
      <c r="N108" s="8">
        <v>4.26</v>
      </c>
      <c r="O108" s="8">
        <v>4.08</v>
      </c>
      <c r="P108" s="8">
        <v>4.8099999999999996</v>
      </c>
      <c r="Q108" s="8">
        <v>5.07</v>
      </c>
      <c r="R108" s="8">
        <v>6.04</v>
      </c>
      <c r="S108" s="3"/>
      <c r="T108" s="3"/>
      <c r="U108" s="3"/>
      <c r="V108" s="3"/>
      <c r="W108" s="3"/>
      <c r="X108" s="4"/>
      <c r="Y108" s="4"/>
      <c r="Z108" s="4"/>
      <c r="AA108" s="102"/>
      <c r="AB108" s="102"/>
      <c r="AC108" s="102"/>
      <c r="AD108" s="102"/>
      <c r="AE108" s="102"/>
      <c r="AF108" s="102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</row>
    <row r="109" spans="1:43">
      <c r="A109" s="10" t="s">
        <v>9</v>
      </c>
      <c r="B109" s="16">
        <v>5.18</v>
      </c>
      <c r="C109" s="16">
        <v>6.24</v>
      </c>
      <c r="D109" s="16">
        <v>3.45</v>
      </c>
      <c r="E109" s="16">
        <v>3.86</v>
      </c>
      <c r="F109" s="16">
        <v>4.1399999999999997</v>
      </c>
      <c r="G109" s="16">
        <v>4.93</v>
      </c>
      <c r="H109" s="16">
        <v>3.79</v>
      </c>
      <c r="I109" s="16">
        <v>3.97</v>
      </c>
      <c r="J109" s="12" t="s">
        <v>9</v>
      </c>
      <c r="K109" s="41">
        <v>1.9</v>
      </c>
      <c r="L109" s="41">
        <v>1.61</v>
      </c>
      <c r="M109" s="41">
        <v>1.29</v>
      </c>
      <c r="N109" s="41">
        <v>1.22</v>
      </c>
      <c r="O109" s="41">
        <v>1.17</v>
      </c>
      <c r="P109" s="41">
        <v>1.39</v>
      </c>
      <c r="Q109" s="41">
        <v>1.4</v>
      </c>
      <c r="R109" s="41">
        <v>1.57</v>
      </c>
      <c r="S109" s="3"/>
      <c r="T109" s="3"/>
      <c r="U109" s="3"/>
      <c r="V109" s="3"/>
      <c r="W109" s="3"/>
      <c r="X109" s="4"/>
      <c r="Y109" s="4"/>
      <c r="Z109" s="4"/>
      <c r="AA109" s="102"/>
      <c r="AB109" s="102"/>
      <c r="AC109" s="102"/>
      <c r="AD109" s="102"/>
      <c r="AE109" s="102"/>
      <c r="AF109" s="102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</row>
    <row r="110" spans="1:43">
      <c r="A110" s="7" t="s">
        <v>141</v>
      </c>
      <c r="B110" s="9">
        <v>2.77</v>
      </c>
      <c r="C110" s="9">
        <v>42.42</v>
      </c>
      <c r="D110" s="9">
        <v>-11.2</v>
      </c>
      <c r="E110" s="9">
        <v>2.59</v>
      </c>
      <c r="F110" s="9">
        <v>-7.0000000000000007E-2</v>
      </c>
      <c r="G110" s="9">
        <v>18.63</v>
      </c>
      <c r="H110" s="9">
        <v>3.36</v>
      </c>
      <c r="I110" s="9">
        <v>26.79</v>
      </c>
      <c r="J110" s="7" t="s">
        <v>141</v>
      </c>
      <c r="K110" s="9">
        <v>33.22</v>
      </c>
      <c r="L110" s="9">
        <v>17.3</v>
      </c>
      <c r="M110" s="9">
        <v>1.66</v>
      </c>
      <c r="N110" s="9">
        <v>-3.57</v>
      </c>
      <c r="O110" s="9">
        <v>-4.1100000000000003</v>
      </c>
      <c r="P110" s="9">
        <v>6.11</v>
      </c>
      <c r="Q110" s="9">
        <v>15</v>
      </c>
      <c r="R110" s="9">
        <v>20.059999999999999</v>
      </c>
      <c r="S110" s="3"/>
      <c r="T110" s="3"/>
      <c r="U110" s="3"/>
      <c r="V110" s="3"/>
      <c r="W110" s="3"/>
      <c r="X110" s="4"/>
      <c r="Y110" s="4"/>
      <c r="Z110" s="4"/>
      <c r="AA110" s="102"/>
      <c r="AB110" s="102"/>
      <c r="AC110" s="102"/>
      <c r="AD110" s="102"/>
      <c r="AE110" s="102"/>
      <c r="AF110" s="102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</row>
    <row r="111" spans="1:43">
      <c r="A111" s="10" t="s">
        <v>142</v>
      </c>
      <c r="B111" s="44">
        <v>-10.29</v>
      </c>
      <c r="C111" s="44">
        <v>63.82</v>
      </c>
      <c r="D111" s="44">
        <v>-11.07</v>
      </c>
      <c r="E111" s="44">
        <v>-5.31</v>
      </c>
      <c r="F111" s="44">
        <v>-11.12</v>
      </c>
      <c r="G111" s="44">
        <v>35.79</v>
      </c>
      <c r="H111" s="44">
        <v>7.13</v>
      </c>
      <c r="I111" s="44">
        <v>64.91</v>
      </c>
      <c r="J111" s="12" t="s">
        <v>142</v>
      </c>
      <c r="K111" s="45">
        <v>63.51</v>
      </c>
      <c r="L111" s="45">
        <v>24.57</v>
      </c>
      <c r="M111" s="45">
        <v>-8.15</v>
      </c>
      <c r="N111" s="45">
        <v>-18.12</v>
      </c>
      <c r="O111" s="45">
        <v>-24.82</v>
      </c>
      <c r="P111" s="45">
        <v>-6.94</v>
      </c>
      <c r="Q111" s="45">
        <v>12.92</v>
      </c>
      <c r="R111" s="45">
        <v>18.649999999999999</v>
      </c>
      <c r="S111" s="3"/>
      <c r="T111" s="3"/>
      <c r="U111" s="3"/>
      <c r="V111" s="3"/>
      <c r="W111" s="3"/>
      <c r="X111" s="4"/>
      <c r="Y111" s="4"/>
      <c r="Z111" s="4"/>
      <c r="AA111" s="102"/>
      <c r="AB111" s="102"/>
      <c r="AC111" s="102"/>
      <c r="AD111" s="102"/>
      <c r="AE111" s="102"/>
      <c r="AF111" s="102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</row>
    <row r="112" spans="1:43">
      <c r="A112" s="7" t="s">
        <v>143</v>
      </c>
      <c r="B112" s="9">
        <v>-14.52</v>
      </c>
      <c r="C112" s="9">
        <v>78.239999999999995</v>
      </c>
      <c r="D112" s="9">
        <v>-14.25</v>
      </c>
      <c r="E112" s="9">
        <v>-8.2799999999999994</v>
      </c>
      <c r="F112" s="9">
        <v>-10.43</v>
      </c>
      <c r="G112" s="9">
        <v>43.69</v>
      </c>
      <c r="H112" s="9">
        <v>2.2200000000000002</v>
      </c>
      <c r="I112" s="9">
        <v>79.86</v>
      </c>
      <c r="J112" s="7" t="s">
        <v>143</v>
      </c>
      <c r="K112" s="9">
        <v>66.400000000000006</v>
      </c>
      <c r="L112" s="9">
        <v>23.6</v>
      </c>
      <c r="M112" s="9">
        <v>-10.87</v>
      </c>
      <c r="N112" s="9">
        <v>-21.22</v>
      </c>
      <c r="O112" s="9">
        <v>-34.97</v>
      </c>
      <c r="P112" s="9">
        <v>-7.71</v>
      </c>
      <c r="Q112" s="9">
        <v>14.23</v>
      </c>
      <c r="R112" s="9">
        <v>21.3</v>
      </c>
      <c r="S112" s="3"/>
      <c r="T112" s="3"/>
      <c r="U112" s="3"/>
      <c r="V112" s="3"/>
      <c r="W112" s="3"/>
      <c r="X112" s="4"/>
      <c r="Y112" s="4"/>
      <c r="Z112" s="4"/>
      <c r="AA112" s="102"/>
      <c r="AB112" s="102"/>
      <c r="AC112" s="102"/>
      <c r="AD112" s="102"/>
      <c r="AE112" s="102"/>
      <c r="AF112" s="102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</row>
    <row r="113" spans="1:43">
      <c r="A113" s="10" t="s">
        <v>144</v>
      </c>
      <c r="B113" s="44">
        <v>-16.96</v>
      </c>
      <c r="C113" s="44">
        <v>81.14</v>
      </c>
      <c r="D113" s="44">
        <v>-10.72</v>
      </c>
      <c r="E113" s="44">
        <v>-8.4700000000000006</v>
      </c>
      <c r="F113" s="44">
        <v>-14.04</v>
      </c>
      <c r="G113" s="44">
        <v>35.729999999999997</v>
      </c>
      <c r="H113" s="44">
        <v>1.36</v>
      </c>
      <c r="I113" s="44">
        <v>95.34</v>
      </c>
      <c r="J113" s="12" t="s">
        <v>144</v>
      </c>
      <c r="K113" s="45">
        <v>62.21</v>
      </c>
      <c r="L113" s="45">
        <v>16.309999999999999</v>
      </c>
      <c r="M113" s="45">
        <v>-7.73</v>
      </c>
      <c r="N113" s="45">
        <v>-22.45</v>
      </c>
      <c r="O113" s="45">
        <v>-35.25</v>
      </c>
      <c r="P113" s="45">
        <v>-10.75</v>
      </c>
      <c r="Q113" s="45">
        <v>7.77</v>
      </c>
      <c r="R113" s="45">
        <v>24.66</v>
      </c>
      <c r="S113" s="3"/>
      <c r="T113" s="3"/>
      <c r="U113" s="3"/>
      <c r="V113" s="3"/>
      <c r="W113" s="3"/>
      <c r="X113" s="4"/>
      <c r="Y113" s="4"/>
      <c r="Z113" s="4"/>
      <c r="AA113" s="102"/>
      <c r="AB113" s="102"/>
      <c r="AC113" s="102"/>
      <c r="AD113" s="102"/>
      <c r="AE113" s="102"/>
      <c r="AF113" s="102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</row>
    <row r="114" spans="1:43">
      <c r="A114" s="7" t="s">
        <v>145</v>
      </c>
      <c r="B114" s="9">
        <v>8.58</v>
      </c>
      <c r="C114" s="9">
        <v>21.44</v>
      </c>
      <c r="D114" s="9">
        <v>6.82</v>
      </c>
      <c r="E114" s="9">
        <v>-2.0299999999999998</v>
      </c>
      <c r="F114" s="9">
        <v>-3.8</v>
      </c>
      <c r="G114" s="9">
        <v>13.01</v>
      </c>
      <c r="H114" s="9">
        <v>4.0999999999999996</v>
      </c>
      <c r="I114" s="9">
        <v>22.99</v>
      </c>
      <c r="J114" s="7" t="s">
        <v>145</v>
      </c>
      <c r="K114" s="9">
        <v>19.3</v>
      </c>
      <c r="L114" s="9">
        <v>14.03</v>
      </c>
      <c r="M114" s="9">
        <v>12.25</v>
      </c>
      <c r="N114" s="9">
        <v>8.58</v>
      </c>
      <c r="O114" s="9">
        <v>12.28</v>
      </c>
      <c r="P114" s="9">
        <v>15.47</v>
      </c>
      <c r="Q114" s="9">
        <v>20.079999999999998</v>
      </c>
      <c r="R114" s="9">
        <v>21.44</v>
      </c>
      <c r="S114" s="3"/>
      <c r="T114" s="3"/>
      <c r="U114" s="3"/>
      <c r="V114" s="3"/>
      <c r="W114" s="3"/>
      <c r="X114" s="4"/>
      <c r="Y114" s="4"/>
      <c r="Z114" s="4"/>
      <c r="AA114" s="102"/>
      <c r="AB114" s="102"/>
      <c r="AC114" s="102"/>
      <c r="AD114" s="102"/>
      <c r="AE114" s="102"/>
      <c r="AF114" s="102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</row>
    <row r="115" spans="1:43">
      <c r="A115" s="10" t="s">
        <v>146</v>
      </c>
      <c r="B115" s="44">
        <v>9.66</v>
      </c>
      <c r="C115" s="44">
        <v>15.97</v>
      </c>
      <c r="D115" s="44">
        <v>3.93</v>
      </c>
      <c r="E115" s="44">
        <v>-2.2000000000000002</v>
      </c>
      <c r="F115" s="44">
        <v>-4.1100000000000003</v>
      </c>
      <c r="G115" s="44">
        <v>13.99</v>
      </c>
      <c r="H115" s="44">
        <v>11.7</v>
      </c>
      <c r="I115" s="44">
        <v>21.19</v>
      </c>
      <c r="J115" s="12" t="s">
        <v>146</v>
      </c>
      <c r="K115" s="45">
        <v>12.68</v>
      </c>
      <c r="L115" s="45">
        <v>11.26</v>
      </c>
      <c r="M115" s="45">
        <v>8.76</v>
      </c>
      <c r="N115" s="45">
        <v>9.66</v>
      </c>
      <c r="O115" s="45">
        <v>11.58</v>
      </c>
      <c r="P115" s="45">
        <v>14.46</v>
      </c>
      <c r="Q115" s="45">
        <v>15.06</v>
      </c>
      <c r="R115" s="45">
        <v>15.97</v>
      </c>
      <c r="S115" s="3"/>
      <c r="T115" s="3"/>
      <c r="U115" s="3"/>
      <c r="V115" s="3"/>
      <c r="W115" s="3"/>
      <c r="X115" s="4"/>
      <c r="Y115" s="4"/>
      <c r="Z115" s="4"/>
      <c r="AA115" s="102"/>
      <c r="AB115" s="102"/>
      <c r="AC115" s="102"/>
      <c r="AD115" s="102"/>
      <c r="AE115" s="102"/>
      <c r="AF115" s="102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</row>
    <row r="116" spans="1:43">
      <c r="A116" s="7" t="s">
        <v>147</v>
      </c>
      <c r="B116" s="65">
        <v>23.86</v>
      </c>
      <c r="C116" s="65">
        <v>44</v>
      </c>
      <c r="D116" s="65">
        <v>16.18</v>
      </c>
      <c r="E116" s="65">
        <v>-6.52</v>
      </c>
      <c r="F116" s="65">
        <v>2.77</v>
      </c>
      <c r="G116" s="65">
        <v>6.58</v>
      </c>
      <c r="H116" s="65">
        <v>-6.07</v>
      </c>
      <c r="I116" s="65">
        <v>21.08</v>
      </c>
      <c r="J116" s="7" t="s">
        <v>147</v>
      </c>
      <c r="K116" s="65">
        <v>25.24</v>
      </c>
      <c r="L116" s="65">
        <v>14.56</v>
      </c>
      <c r="M116" s="65">
        <v>15.61</v>
      </c>
      <c r="N116" s="65">
        <v>23.86</v>
      </c>
      <c r="O116" s="65">
        <v>32.299999999999997</v>
      </c>
      <c r="P116" s="65">
        <v>44.48</v>
      </c>
      <c r="Q116" s="65">
        <v>46.15</v>
      </c>
      <c r="R116" s="65">
        <v>44</v>
      </c>
      <c r="S116" s="3"/>
      <c r="T116" s="3"/>
      <c r="U116" s="3"/>
      <c r="V116" s="3"/>
      <c r="W116" s="3"/>
      <c r="X116" s="4"/>
      <c r="Y116" s="4"/>
      <c r="Z116" s="4"/>
      <c r="AA116" s="102"/>
      <c r="AB116" s="102"/>
      <c r="AC116" s="102"/>
      <c r="AD116" s="102"/>
      <c r="AE116" s="102"/>
      <c r="AF116" s="102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</row>
    <row r="117" spans="1:43">
      <c r="A117" s="10" t="s">
        <v>148</v>
      </c>
      <c r="B117" s="44">
        <v>144.79</v>
      </c>
      <c r="C117" s="44">
        <v>162.88</v>
      </c>
      <c r="D117" s="44">
        <v>256.07</v>
      </c>
      <c r="E117" s="44">
        <v>338.7</v>
      </c>
      <c r="F117" s="44">
        <v>397.94</v>
      </c>
      <c r="G117" s="44">
        <v>451.4</v>
      </c>
      <c r="H117" s="44">
        <v>613.84</v>
      </c>
      <c r="I117" s="44">
        <v>286.39999999999998</v>
      </c>
      <c r="J117" s="12" t="s">
        <v>148</v>
      </c>
      <c r="K117" s="45">
        <v>148.16999999999999</v>
      </c>
      <c r="L117" s="45">
        <v>99.83</v>
      </c>
      <c r="M117" s="45">
        <v>163.5</v>
      </c>
      <c r="N117" s="45">
        <v>144.79</v>
      </c>
      <c r="O117" s="45">
        <v>131.61000000000001</v>
      </c>
      <c r="P117" s="45">
        <v>91.54</v>
      </c>
      <c r="Q117" s="45">
        <v>154.22</v>
      </c>
      <c r="R117" s="45">
        <v>162.88</v>
      </c>
      <c r="S117" s="3"/>
      <c r="T117" s="3"/>
      <c r="U117" s="3"/>
      <c r="V117" s="3"/>
      <c r="W117" s="3"/>
      <c r="X117" s="4"/>
      <c r="Y117" s="4"/>
      <c r="Z117" s="4"/>
      <c r="AA117" s="102"/>
      <c r="AB117" s="102"/>
      <c r="AC117" s="102"/>
      <c r="AD117" s="102"/>
      <c r="AE117" s="102"/>
      <c r="AF117" s="102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</row>
    <row r="118" spans="1:43">
      <c r="A118" s="7" t="s">
        <v>149</v>
      </c>
      <c r="B118" s="9">
        <v>116.96</v>
      </c>
      <c r="C118" s="9">
        <v>135.30000000000001</v>
      </c>
      <c r="D118" s="9">
        <v>221.61</v>
      </c>
      <c r="E118" s="9">
        <v>304.12</v>
      </c>
      <c r="F118" s="9">
        <v>335.73</v>
      </c>
      <c r="G118" s="9">
        <v>384.69</v>
      </c>
      <c r="H118" s="9">
        <v>537.01</v>
      </c>
      <c r="I118" s="9">
        <v>245.85</v>
      </c>
      <c r="J118" s="7" t="s">
        <v>149</v>
      </c>
      <c r="K118" s="9">
        <v>117.68</v>
      </c>
      <c r="L118" s="9">
        <v>83.9</v>
      </c>
      <c r="M118" s="9">
        <v>134.84</v>
      </c>
      <c r="N118" s="9">
        <v>116.96</v>
      </c>
      <c r="O118" s="9">
        <v>107.43</v>
      </c>
      <c r="P118" s="9">
        <v>75.88</v>
      </c>
      <c r="Q118" s="9">
        <v>124.68</v>
      </c>
      <c r="R118" s="9">
        <v>135.30000000000001</v>
      </c>
      <c r="S118" s="3"/>
      <c r="T118" s="3"/>
      <c r="U118" s="3"/>
      <c r="V118" s="3"/>
      <c r="W118" s="3"/>
      <c r="X118" s="4"/>
      <c r="Y118" s="4"/>
      <c r="Z118" s="4"/>
      <c r="AA118" s="102"/>
      <c r="AB118" s="102"/>
      <c r="AC118" s="102"/>
      <c r="AD118" s="102"/>
      <c r="AE118" s="102"/>
      <c r="AF118" s="102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</row>
    <row r="119" spans="1:43">
      <c r="A119" s="10" t="s">
        <v>150</v>
      </c>
      <c r="B119" s="39">
        <v>17.309999999999999</v>
      </c>
      <c r="C119" s="39">
        <v>18.12</v>
      </c>
      <c r="D119" s="39">
        <v>14.26</v>
      </c>
      <c r="E119" s="39">
        <v>11.87</v>
      </c>
      <c r="F119" s="39">
        <v>11.72</v>
      </c>
      <c r="G119" s="39">
        <v>11.44</v>
      </c>
      <c r="H119" s="39">
        <v>12.2</v>
      </c>
      <c r="I119" s="39">
        <v>18.170000000000002</v>
      </c>
      <c r="J119" s="12" t="s">
        <v>150</v>
      </c>
      <c r="K119" s="40">
        <v>22.47</v>
      </c>
      <c r="L119" s="40">
        <v>28.16</v>
      </c>
      <c r="M119" s="40">
        <v>19.510000000000002</v>
      </c>
      <c r="N119" s="40">
        <v>17.309999999999999</v>
      </c>
      <c r="O119" s="40">
        <v>17.920000000000002</v>
      </c>
      <c r="P119" s="40">
        <v>26.37</v>
      </c>
      <c r="Q119" s="40">
        <v>16.93</v>
      </c>
      <c r="R119" s="40">
        <v>18.12</v>
      </c>
      <c r="S119" s="64"/>
      <c r="T119" s="64"/>
      <c r="U119" s="64"/>
      <c r="V119" s="64"/>
      <c r="W119" s="64"/>
      <c r="X119" s="24"/>
      <c r="Y119" s="24"/>
      <c r="Z119" s="24"/>
      <c r="AA119" s="102"/>
      <c r="AB119" s="102"/>
      <c r="AC119" s="102"/>
      <c r="AD119" s="102"/>
      <c r="AE119" s="102"/>
      <c r="AF119" s="102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</row>
    <row r="120" spans="1:43">
      <c r="A120" s="7" t="s">
        <v>151</v>
      </c>
      <c r="B120" s="18">
        <v>0.82688125199999996</v>
      </c>
      <c r="C120" s="18">
        <v>0.81875677400000002</v>
      </c>
      <c r="D120" s="18">
        <v>0.85739496100000001</v>
      </c>
      <c r="E120" s="18">
        <v>0.88126735499999997</v>
      </c>
      <c r="F120" s="18">
        <v>0.88277425700000001</v>
      </c>
      <c r="G120" s="18">
        <v>0.88562462399999997</v>
      </c>
      <c r="H120" s="18">
        <v>0.87801946600000003</v>
      </c>
      <c r="I120" s="18">
        <v>0.81830077999999995</v>
      </c>
      <c r="J120" s="7" t="s">
        <v>151</v>
      </c>
      <c r="K120" s="18">
        <v>0.77529846199999997</v>
      </c>
      <c r="L120" s="18">
        <v>0.71844861400000004</v>
      </c>
      <c r="M120" s="18">
        <v>0.80489857399999998</v>
      </c>
      <c r="N120" s="18">
        <v>0.82688125199999996</v>
      </c>
      <c r="O120" s="18">
        <v>0.82084233200000001</v>
      </c>
      <c r="P120" s="18">
        <v>0.73634923799999996</v>
      </c>
      <c r="Q120" s="18">
        <v>0.83072544299999995</v>
      </c>
      <c r="R120" s="18">
        <v>0.81875677400000002</v>
      </c>
      <c r="S120" s="64"/>
      <c r="T120" s="64"/>
      <c r="U120" s="64"/>
      <c r="V120" s="64"/>
      <c r="W120" s="64"/>
      <c r="X120" s="24"/>
      <c r="Y120" s="24"/>
      <c r="Z120" s="24"/>
      <c r="AA120" s="102"/>
      <c r="AB120" s="102"/>
      <c r="AC120" s="102"/>
      <c r="AD120" s="102"/>
      <c r="AE120" s="102"/>
      <c r="AF120" s="102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</row>
    <row r="121" spans="1:43">
      <c r="A121" s="10" t="s">
        <v>152</v>
      </c>
      <c r="B121" s="1">
        <v>0.13412716699999999</v>
      </c>
      <c r="C121" s="1">
        <v>2.7845673000000001E-2</v>
      </c>
      <c r="D121" s="1">
        <v>5.5100989000000003E-2</v>
      </c>
      <c r="E121" s="1">
        <v>5.4346411999999997E-2</v>
      </c>
      <c r="F121" s="1">
        <v>0.128241296</v>
      </c>
      <c r="G121" s="1">
        <v>0.111605385</v>
      </c>
      <c r="H121" s="1">
        <v>0.23630243100000001</v>
      </c>
      <c r="I121" s="1">
        <v>0.25730101</v>
      </c>
      <c r="J121" s="12" t="s">
        <v>152</v>
      </c>
      <c r="K121" s="46">
        <v>1.5344705190000001</v>
      </c>
      <c r="L121" s="46">
        <v>0.838351709</v>
      </c>
      <c r="M121" s="46">
        <v>1.0455876200000001</v>
      </c>
      <c r="N121" s="46">
        <v>0.56999904999999995</v>
      </c>
      <c r="O121" s="46">
        <v>0.59220266499999996</v>
      </c>
      <c r="P121" s="46">
        <v>0</v>
      </c>
      <c r="Q121" s="46">
        <v>0</v>
      </c>
      <c r="R121" s="46">
        <v>0.110510806</v>
      </c>
      <c r="S121" s="3"/>
      <c r="T121" s="3"/>
      <c r="U121" s="3"/>
      <c r="V121" s="3"/>
      <c r="W121" s="3"/>
      <c r="X121" s="4"/>
      <c r="Y121" s="4"/>
      <c r="Z121" s="4"/>
      <c r="AA121" s="102"/>
      <c r="AB121" s="102"/>
      <c r="AC121" s="102"/>
      <c r="AD121" s="102"/>
      <c r="AE121" s="102"/>
      <c r="AF121" s="102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</row>
    <row r="122" spans="1:43">
      <c r="A122" s="7" t="s">
        <v>153</v>
      </c>
      <c r="B122" s="47">
        <v>325.54000000000002</v>
      </c>
      <c r="C122" s="47">
        <v>789.71</v>
      </c>
      <c r="D122" s="47">
        <v>669.76</v>
      </c>
      <c r="E122" s="47">
        <v>312.95</v>
      </c>
      <c r="F122" s="47">
        <v>207.51</v>
      </c>
      <c r="G122" s="47">
        <v>204.88</v>
      </c>
      <c r="H122" s="47">
        <v>39.619999999999997</v>
      </c>
      <c r="I122" s="47">
        <v>68.849999999999994</v>
      </c>
      <c r="J122" s="7" t="s">
        <v>153</v>
      </c>
      <c r="K122" s="47">
        <v>208.06</v>
      </c>
      <c r="L122" s="47">
        <v>269.43</v>
      </c>
      <c r="M122" s="47">
        <v>187.43</v>
      </c>
      <c r="N122" s="47">
        <v>198.81</v>
      </c>
      <c r="O122" s="47">
        <v>248.65</v>
      </c>
      <c r="P122" s="47">
        <v>521.24</v>
      </c>
      <c r="Q122" s="47">
        <v>560.96</v>
      </c>
      <c r="R122" s="47">
        <v>594.41</v>
      </c>
      <c r="S122" s="3"/>
      <c r="T122" s="3"/>
      <c r="U122" s="3"/>
      <c r="V122" s="3"/>
      <c r="W122" s="3"/>
      <c r="X122" s="4"/>
      <c r="Y122" s="4"/>
      <c r="Z122" s="4"/>
      <c r="AA122" s="102"/>
      <c r="AB122" s="102"/>
      <c r="AC122" s="102"/>
      <c r="AD122" s="102"/>
      <c r="AE122" s="102"/>
      <c r="AF122" s="102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</row>
    <row r="123" spans="1:43">
      <c r="A123" s="10" t="s">
        <v>154</v>
      </c>
      <c r="B123" s="16">
        <v>10.53</v>
      </c>
      <c r="C123" s="16">
        <v>11.06</v>
      </c>
      <c r="D123" s="16">
        <v>11.37</v>
      </c>
      <c r="E123" s="16">
        <v>11.3</v>
      </c>
      <c r="F123" s="16">
        <v>8.99</v>
      </c>
      <c r="G123" s="16">
        <v>9.5</v>
      </c>
      <c r="H123" s="16">
        <v>8.32</v>
      </c>
      <c r="I123" s="16">
        <v>9.66</v>
      </c>
      <c r="J123" s="12" t="s">
        <v>154</v>
      </c>
      <c r="K123" s="41">
        <v>2.52</v>
      </c>
      <c r="L123" s="41">
        <v>2.54</v>
      </c>
      <c r="M123" s="41">
        <v>2.44</v>
      </c>
      <c r="N123" s="41">
        <v>2.4700000000000002</v>
      </c>
      <c r="O123" s="41">
        <v>2.35</v>
      </c>
      <c r="P123" s="41">
        <v>2.4</v>
      </c>
      <c r="Q123" s="41">
        <v>2.42</v>
      </c>
      <c r="R123" s="41">
        <v>2.5</v>
      </c>
      <c r="S123" s="64"/>
      <c r="T123" s="64"/>
      <c r="U123" s="64"/>
      <c r="V123" s="64"/>
      <c r="W123" s="64"/>
      <c r="X123" s="24"/>
      <c r="Y123" s="24"/>
      <c r="Z123" s="24"/>
      <c r="AA123" s="102"/>
      <c r="AB123" s="102"/>
      <c r="AC123" s="102"/>
      <c r="AD123" s="102"/>
      <c r="AE123" s="102"/>
      <c r="AF123" s="102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</row>
    <row r="124" spans="1:43">
      <c r="A124" s="7" t="s">
        <v>155</v>
      </c>
      <c r="B124" s="48">
        <v>34.662868000000003</v>
      </c>
      <c r="C124" s="48">
        <v>33.001808320000002</v>
      </c>
      <c r="D124" s="48">
        <v>32.102022869999999</v>
      </c>
      <c r="E124" s="48">
        <v>32.300884959999998</v>
      </c>
      <c r="F124" s="48">
        <v>40.60066741</v>
      </c>
      <c r="G124" s="48">
        <v>38.421052629999998</v>
      </c>
      <c r="H124" s="48">
        <v>43.87019231</v>
      </c>
      <c r="I124" s="48">
        <v>37.784679089999997</v>
      </c>
      <c r="J124" s="7" t="s">
        <v>155</v>
      </c>
      <c r="K124" s="48">
        <v>35.714285709999999</v>
      </c>
      <c r="L124" s="48">
        <v>35.433070870000002</v>
      </c>
      <c r="M124" s="48">
        <v>36.885245900000001</v>
      </c>
      <c r="N124" s="48">
        <v>36.437246960000003</v>
      </c>
      <c r="O124" s="48">
        <v>38.297872339999998</v>
      </c>
      <c r="P124" s="48">
        <v>37.5</v>
      </c>
      <c r="Q124" s="48">
        <v>37.19008264</v>
      </c>
      <c r="R124" s="48">
        <v>36</v>
      </c>
      <c r="S124" s="64"/>
      <c r="T124" s="64"/>
      <c r="U124" s="64"/>
      <c r="V124" s="64"/>
      <c r="W124" s="64"/>
      <c r="X124" s="24"/>
      <c r="Y124" s="24"/>
      <c r="Z124" s="24"/>
      <c r="AA124" s="102"/>
      <c r="AB124" s="102"/>
      <c r="AC124" s="102"/>
      <c r="AD124" s="102"/>
      <c r="AE124" s="102"/>
      <c r="AF124" s="102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</row>
    <row r="125" spans="1:43">
      <c r="A125" s="10" t="s">
        <v>156</v>
      </c>
      <c r="B125" s="16">
        <v>9.61</v>
      </c>
      <c r="C125" s="16">
        <v>9.44</v>
      </c>
      <c r="D125" s="16">
        <v>10.06</v>
      </c>
      <c r="E125" s="16">
        <v>10.86</v>
      </c>
      <c r="F125" s="16">
        <v>8.7799999999999994</v>
      </c>
      <c r="G125" s="16">
        <v>9.27</v>
      </c>
      <c r="H125" s="16">
        <v>9.82</v>
      </c>
      <c r="I125" s="16">
        <v>11.63</v>
      </c>
      <c r="J125" s="12" t="s">
        <v>156</v>
      </c>
      <c r="K125" s="41">
        <v>2.48</v>
      </c>
      <c r="L125" s="41">
        <v>2.4500000000000002</v>
      </c>
      <c r="M125" s="41">
        <v>2.2999999999999998</v>
      </c>
      <c r="N125" s="41">
        <v>2.5099999999999998</v>
      </c>
      <c r="O125" s="41">
        <v>2.4</v>
      </c>
      <c r="P125" s="41">
        <v>2.09</v>
      </c>
      <c r="Q125" s="41">
        <v>1.96</v>
      </c>
      <c r="R125" s="41">
        <v>2.23</v>
      </c>
      <c r="S125" s="64"/>
      <c r="T125" s="64"/>
      <c r="U125" s="64"/>
      <c r="V125" s="64"/>
      <c r="W125" s="64"/>
      <c r="X125" s="24"/>
      <c r="Y125" s="24"/>
      <c r="Z125" s="24"/>
      <c r="AA125" s="102"/>
      <c r="AB125" s="102"/>
      <c r="AC125" s="102"/>
      <c r="AD125" s="102"/>
      <c r="AE125" s="102"/>
      <c r="AF125" s="102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</row>
    <row r="126" spans="1:43">
      <c r="A126" s="7" t="s">
        <v>157</v>
      </c>
      <c r="B126" s="49">
        <v>37.981269509999997</v>
      </c>
      <c r="C126" s="49">
        <v>38.665254240000003</v>
      </c>
      <c r="D126" s="49">
        <v>36.282306159999997</v>
      </c>
      <c r="E126" s="49">
        <v>33.609576429999997</v>
      </c>
      <c r="F126" s="49">
        <v>41.571753989999998</v>
      </c>
      <c r="G126" s="49">
        <v>39.374325779999999</v>
      </c>
      <c r="H126" s="49">
        <v>37.169042769999997</v>
      </c>
      <c r="I126" s="49">
        <v>31.384350820000002</v>
      </c>
      <c r="J126" s="7" t="s">
        <v>157</v>
      </c>
      <c r="K126" s="49">
        <v>36.290322580000002</v>
      </c>
      <c r="L126" s="49">
        <v>36.734693880000002</v>
      </c>
      <c r="M126" s="49">
        <v>39.130434780000002</v>
      </c>
      <c r="N126" s="49">
        <v>35.856573709999999</v>
      </c>
      <c r="O126" s="49">
        <v>37.5</v>
      </c>
      <c r="P126" s="49">
        <v>43.062200959999998</v>
      </c>
      <c r="Q126" s="49">
        <v>45.918367349999997</v>
      </c>
      <c r="R126" s="49">
        <v>40.358744389999998</v>
      </c>
      <c r="S126" s="3"/>
      <c r="T126" s="3"/>
      <c r="U126" s="3"/>
      <c r="V126" s="3"/>
      <c r="W126" s="3"/>
      <c r="X126" s="4"/>
      <c r="Y126" s="4"/>
      <c r="Z126" s="4"/>
      <c r="AA126" s="102"/>
      <c r="AB126" s="102"/>
      <c r="AC126" s="102"/>
      <c r="AD126" s="102"/>
      <c r="AE126" s="102"/>
      <c r="AF126" s="102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</row>
    <row r="127" spans="1:43">
      <c r="A127" s="10" t="s">
        <v>158</v>
      </c>
      <c r="B127" s="16">
        <v>1.02</v>
      </c>
      <c r="C127" s="16">
        <v>1.31</v>
      </c>
      <c r="D127" s="16">
        <v>1.21</v>
      </c>
      <c r="E127" s="16">
        <v>1.42</v>
      </c>
      <c r="F127" s="16">
        <v>1.36</v>
      </c>
      <c r="G127" s="16">
        <v>1.42</v>
      </c>
      <c r="H127" s="16">
        <v>1.2</v>
      </c>
      <c r="I127" s="16">
        <v>1.23</v>
      </c>
      <c r="J127" s="12" t="s">
        <v>158</v>
      </c>
      <c r="K127" s="41">
        <v>0.26</v>
      </c>
      <c r="L127" s="41">
        <v>0.26</v>
      </c>
      <c r="M127" s="41">
        <v>0.22</v>
      </c>
      <c r="N127" s="41">
        <v>0.23</v>
      </c>
      <c r="O127" s="41">
        <v>0.24</v>
      </c>
      <c r="P127" s="41">
        <v>0.25</v>
      </c>
      <c r="Q127" s="41">
        <v>0.26</v>
      </c>
      <c r="R127" s="41">
        <v>0.31</v>
      </c>
      <c r="S127" s="3"/>
      <c r="T127" s="3"/>
      <c r="U127" s="3"/>
      <c r="V127" s="3"/>
      <c r="W127" s="3"/>
      <c r="X127" s="4"/>
      <c r="Y127" s="4"/>
      <c r="Z127" s="4"/>
      <c r="AA127" s="102"/>
      <c r="AB127" s="102"/>
      <c r="AC127" s="102"/>
      <c r="AD127" s="102"/>
      <c r="AE127" s="102"/>
      <c r="AF127" s="102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</row>
    <row r="128" spans="1:43">
      <c r="A128" s="7" t="s">
        <v>159</v>
      </c>
      <c r="B128" s="14">
        <v>0.56999999999999995</v>
      </c>
      <c r="C128" s="14">
        <v>0.64</v>
      </c>
      <c r="D128" s="14">
        <v>0.51</v>
      </c>
      <c r="E128" s="14">
        <v>0.59</v>
      </c>
      <c r="F128" s="14">
        <v>0.56000000000000005</v>
      </c>
      <c r="G128" s="14">
        <v>0.57999999999999996</v>
      </c>
      <c r="H128" s="14">
        <v>0.53</v>
      </c>
      <c r="I128" s="14">
        <v>0.57999999999999996</v>
      </c>
      <c r="J128" s="7" t="s">
        <v>159</v>
      </c>
      <c r="K128" s="14">
        <v>0.16</v>
      </c>
      <c r="L128" s="14">
        <v>0.15</v>
      </c>
      <c r="M128" s="14">
        <v>0.13</v>
      </c>
      <c r="N128" s="14">
        <v>0.14000000000000001</v>
      </c>
      <c r="O128" s="14">
        <v>0.14000000000000001</v>
      </c>
      <c r="P128" s="14">
        <v>0.14000000000000001</v>
      </c>
      <c r="Q128" s="14">
        <v>0.14000000000000001</v>
      </c>
      <c r="R128" s="14">
        <v>0.16</v>
      </c>
      <c r="S128" s="3"/>
      <c r="T128" s="3"/>
      <c r="U128" s="3"/>
      <c r="V128" s="3"/>
      <c r="W128" s="3"/>
      <c r="X128" s="4"/>
      <c r="Y128" s="4"/>
      <c r="Z128" s="4"/>
      <c r="AA128" s="102"/>
      <c r="AB128" s="102"/>
      <c r="AC128" s="102"/>
      <c r="AD128" s="102"/>
      <c r="AE128" s="102"/>
      <c r="AF128" s="102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</row>
    <row r="129" spans="1:43">
      <c r="A129" s="10" t="s">
        <v>160</v>
      </c>
      <c r="B129" s="50">
        <v>13889</v>
      </c>
      <c r="C129" s="50">
        <v>13598</v>
      </c>
      <c r="D129" s="50">
        <v>12818</v>
      </c>
      <c r="E129" s="50">
        <v>15754</v>
      </c>
      <c r="F129" s="50">
        <v>15259</v>
      </c>
      <c r="G129" s="50">
        <v>15537</v>
      </c>
      <c r="H129" s="50">
        <v>13597</v>
      </c>
      <c r="I129" s="50">
        <v>13791</v>
      </c>
      <c r="J129" s="12" t="s">
        <v>160</v>
      </c>
      <c r="K129" s="17">
        <v>4302</v>
      </c>
      <c r="L129" s="17">
        <v>3997</v>
      </c>
      <c r="M129" s="17">
        <v>3469</v>
      </c>
      <c r="N129" s="17">
        <v>3422</v>
      </c>
      <c r="O129" s="17">
        <v>3503</v>
      </c>
      <c r="P129" s="17">
        <v>3552</v>
      </c>
      <c r="Q129" s="17">
        <v>3386</v>
      </c>
      <c r="R129" s="17">
        <v>3570</v>
      </c>
      <c r="S129" s="3"/>
      <c r="T129" s="3"/>
      <c r="U129" s="3"/>
      <c r="V129" s="3"/>
      <c r="W129" s="3"/>
      <c r="X129" s="4"/>
      <c r="Y129" s="4"/>
      <c r="Z129" s="4"/>
      <c r="AA129" s="102"/>
      <c r="AB129" s="102"/>
      <c r="AC129" s="102"/>
      <c r="AD129" s="102"/>
      <c r="AE129" s="102"/>
      <c r="AF129" s="102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</row>
    <row r="130" spans="1:43">
      <c r="A130" s="7" t="s">
        <v>161</v>
      </c>
      <c r="B130" s="14">
        <v>0.69</v>
      </c>
      <c r="C130" s="14">
        <v>0.76</v>
      </c>
      <c r="D130" s="14">
        <v>0.59</v>
      </c>
      <c r="E130" s="14">
        <v>0.67</v>
      </c>
      <c r="F130" s="14">
        <v>0.63</v>
      </c>
      <c r="G130" s="14">
        <v>0.66</v>
      </c>
      <c r="H130" s="14">
        <v>0.63</v>
      </c>
      <c r="I130" s="14">
        <v>0.7</v>
      </c>
      <c r="J130" s="7" t="s">
        <v>161</v>
      </c>
      <c r="K130" s="14">
        <v>0.21</v>
      </c>
      <c r="L130" s="14">
        <v>0.2</v>
      </c>
      <c r="M130" s="14">
        <v>0.16</v>
      </c>
      <c r="N130" s="14">
        <v>0.17</v>
      </c>
      <c r="O130" s="14">
        <v>0.18</v>
      </c>
      <c r="P130" s="14">
        <v>0.18</v>
      </c>
      <c r="Q130" s="14">
        <v>0.17</v>
      </c>
      <c r="R130" s="14">
        <v>0.19</v>
      </c>
      <c r="S130" s="3"/>
      <c r="T130" s="3"/>
      <c r="U130" s="3"/>
      <c r="V130" s="3"/>
      <c r="W130" s="3"/>
      <c r="X130" s="4"/>
      <c r="Y130" s="4"/>
      <c r="Z130" s="4"/>
      <c r="AA130" s="102"/>
      <c r="AB130" s="102"/>
      <c r="AC130" s="102"/>
      <c r="AD130" s="102"/>
      <c r="AE130" s="102"/>
      <c r="AF130" s="102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</row>
    <row r="131" spans="1:43">
      <c r="A131" s="10" t="s">
        <v>162</v>
      </c>
      <c r="B131" s="16">
        <v>20.94</v>
      </c>
      <c r="C131" s="16">
        <v>22.14</v>
      </c>
      <c r="D131" s="16">
        <v>16.63</v>
      </c>
      <c r="E131" s="16">
        <v>13.47</v>
      </c>
      <c r="F131" s="16">
        <v>13.28</v>
      </c>
      <c r="G131" s="16">
        <v>12.91</v>
      </c>
      <c r="H131" s="16">
        <v>13.89</v>
      </c>
      <c r="I131" s="16">
        <v>22.2</v>
      </c>
      <c r="J131" s="12" t="s">
        <v>162</v>
      </c>
      <c r="K131" s="41">
        <v>28.98</v>
      </c>
      <c r="L131" s="41">
        <v>39.19</v>
      </c>
      <c r="M131" s="41">
        <v>24.24</v>
      </c>
      <c r="N131" s="41">
        <v>20.94</v>
      </c>
      <c r="O131" s="41">
        <v>21.83</v>
      </c>
      <c r="P131" s="41">
        <v>35.81</v>
      </c>
      <c r="Q131" s="41">
        <v>20.38</v>
      </c>
      <c r="R131" s="41">
        <v>22.14</v>
      </c>
      <c r="S131" s="3"/>
      <c r="T131" s="3"/>
      <c r="U131" s="3"/>
      <c r="V131" s="3"/>
      <c r="W131" s="3"/>
      <c r="X131" s="4"/>
      <c r="Y131" s="4"/>
      <c r="Z131" s="4"/>
      <c r="AA131" s="102"/>
      <c r="AB131" s="102"/>
      <c r="AC131" s="102"/>
      <c r="AD131" s="102"/>
      <c r="AE131" s="102"/>
      <c r="AF131" s="102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</row>
    <row r="132" spans="1:43">
      <c r="A132" s="7" t="s">
        <v>163</v>
      </c>
      <c r="B132" s="49">
        <v>142.52000000000001</v>
      </c>
      <c r="C132" s="49">
        <v>157.72999999999999</v>
      </c>
      <c r="D132" s="49">
        <v>196.27</v>
      </c>
      <c r="E132" s="49">
        <v>219.72</v>
      </c>
      <c r="F132" s="49">
        <v>213.63</v>
      </c>
      <c r="G132" s="49">
        <v>228.78</v>
      </c>
      <c r="H132" s="49">
        <v>218.42</v>
      </c>
      <c r="I132" s="49">
        <v>185.42</v>
      </c>
      <c r="J132" s="7" t="s">
        <v>163</v>
      </c>
      <c r="K132" s="49">
        <v>136.94999999999999</v>
      </c>
      <c r="L132" s="49">
        <v>128.85</v>
      </c>
      <c r="M132" s="49">
        <v>146.35</v>
      </c>
      <c r="N132" s="49">
        <v>142.52000000000001</v>
      </c>
      <c r="O132" s="49">
        <v>140.97999999999999</v>
      </c>
      <c r="P132" s="49">
        <v>125.65</v>
      </c>
      <c r="Q132" s="49">
        <v>147.74</v>
      </c>
      <c r="R132" s="49">
        <v>157.72999999999999</v>
      </c>
      <c r="S132" s="64"/>
      <c r="T132" s="64"/>
      <c r="U132" s="64"/>
      <c r="V132" s="64"/>
      <c r="W132" s="64"/>
      <c r="X132" s="24"/>
      <c r="Y132" s="24"/>
      <c r="Z132" s="24"/>
      <c r="AA132" s="102"/>
      <c r="AB132" s="102"/>
      <c r="AC132" s="102"/>
      <c r="AD132" s="102"/>
      <c r="AE132" s="102"/>
      <c r="AF132" s="102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</row>
    <row r="133" spans="1:43">
      <c r="A133" s="10" t="s">
        <v>164</v>
      </c>
      <c r="B133" s="51">
        <v>0.16994962</v>
      </c>
      <c r="C133" s="51">
        <v>0.16815070400000001</v>
      </c>
      <c r="D133" s="51">
        <v>0.205096055</v>
      </c>
      <c r="E133" s="51">
        <v>0.229734405</v>
      </c>
      <c r="F133" s="51">
        <v>0.224532552</v>
      </c>
      <c r="G133" s="51">
        <v>0.23950765800000001</v>
      </c>
      <c r="H133" s="51">
        <v>0.158923435</v>
      </c>
      <c r="I133" s="51">
        <v>0.15032827200000001</v>
      </c>
      <c r="J133" s="12" t="s">
        <v>164</v>
      </c>
      <c r="K133" s="52">
        <v>0.15310047900000001</v>
      </c>
      <c r="L133" s="52">
        <v>0.152800503</v>
      </c>
      <c r="M133" s="52">
        <v>0.15721858799999999</v>
      </c>
      <c r="N133" s="52">
        <v>0.16994962</v>
      </c>
      <c r="O133" s="52">
        <v>0.17298175599999999</v>
      </c>
      <c r="P133" s="52">
        <v>0.146709703</v>
      </c>
      <c r="Q133" s="52">
        <v>0.15982545400000001</v>
      </c>
      <c r="R133" s="52">
        <v>0.16815070400000001</v>
      </c>
      <c r="S133" s="64"/>
      <c r="T133" s="64"/>
      <c r="U133" s="64"/>
      <c r="V133" s="64"/>
      <c r="W133" s="64"/>
      <c r="X133" s="24"/>
      <c r="Y133" s="24"/>
      <c r="Z133" s="24"/>
      <c r="AA133" s="102"/>
      <c r="AB133" s="102"/>
      <c r="AC133" s="102"/>
      <c r="AD133" s="102"/>
      <c r="AE133" s="102"/>
      <c r="AF133" s="102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</row>
    <row r="134" spans="1:43">
      <c r="A134" s="7" t="s">
        <v>165</v>
      </c>
      <c r="B134" s="43">
        <v>2.9196065E-2</v>
      </c>
      <c r="C134" s="43">
        <v>6.0306664000000003E-2</v>
      </c>
      <c r="D134" s="43">
        <v>0</v>
      </c>
      <c r="E134" s="43">
        <v>5.8783299999999995E-4</v>
      </c>
      <c r="F134" s="43">
        <v>4.4135570999999998E-2</v>
      </c>
      <c r="G134" s="43">
        <v>4.023206E-2</v>
      </c>
      <c r="H134" s="43">
        <v>0</v>
      </c>
      <c r="I134" s="43">
        <v>5.5121226000000002E-2</v>
      </c>
      <c r="J134" s="7" t="s">
        <v>165</v>
      </c>
      <c r="K134" s="43">
        <v>1.7476953E-2</v>
      </c>
      <c r="L134" s="43">
        <v>3.070813E-2</v>
      </c>
      <c r="M134" s="43">
        <v>7.6298629999999997E-3</v>
      </c>
      <c r="N134" s="43">
        <v>1.901067E-3</v>
      </c>
      <c r="O134" s="43">
        <v>4.8908859999999997E-3</v>
      </c>
      <c r="P134" s="43">
        <v>1.1908046E-2</v>
      </c>
      <c r="Q134" s="43">
        <v>1.3488778E-2</v>
      </c>
      <c r="R134" s="43">
        <v>2.0642163000000002E-2</v>
      </c>
      <c r="S134" s="64"/>
      <c r="T134" s="64"/>
      <c r="U134" s="64"/>
      <c r="V134" s="64"/>
      <c r="W134" s="64"/>
      <c r="X134" s="24"/>
      <c r="Y134" s="24"/>
      <c r="Z134" s="24"/>
      <c r="AA134" s="102"/>
      <c r="AB134" s="102"/>
      <c r="AC134" s="102"/>
      <c r="AD134" s="102"/>
      <c r="AE134" s="102"/>
      <c r="AF134" s="102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</row>
    <row r="135" spans="1:43">
      <c r="A135" s="10" t="s">
        <v>166</v>
      </c>
      <c r="B135" s="16">
        <v>5.7763818709999999</v>
      </c>
      <c r="C135" s="16">
        <v>5.5174475789999997</v>
      </c>
      <c r="D135" s="16">
        <v>7.0123749149999997</v>
      </c>
      <c r="E135" s="16">
        <v>8.4222835059999994</v>
      </c>
      <c r="F135" s="16">
        <v>8.5306813439999996</v>
      </c>
      <c r="G135" s="16">
        <v>8.7431406620000001</v>
      </c>
      <c r="H135" s="16">
        <v>8.1981618180000009</v>
      </c>
      <c r="I135" s="16">
        <v>5.503600939</v>
      </c>
      <c r="J135" s="12" t="s">
        <v>166</v>
      </c>
      <c r="K135" s="41">
        <v>4.4503478259999998</v>
      </c>
      <c r="L135" s="41">
        <v>3.55174952</v>
      </c>
      <c r="M135" s="41">
        <v>5.1255391530000001</v>
      </c>
      <c r="N135" s="41">
        <v>5.7763818709999999</v>
      </c>
      <c r="O135" s="41">
        <v>5.5816756850000004</v>
      </c>
      <c r="P135" s="41">
        <v>3.7928963019999999</v>
      </c>
      <c r="Q135" s="41">
        <v>5.9075623469999998</v>
      </c>
      <c r="R135" s="41">
        <v>5.5174475789999997</v>
      </c>
      <c r="S135" s="3"/>
      <c r="T135" s="3"/>
      <c r="U135" s="3"/>
      <c r="V135" s="3"/>
      <c r="W135" s="3"/>
      <c r="X135" s="4"/>
      <c r="Y135" s="4"/>
      <c r="Z135" s="4"/>
      <c r="AA135" s="102"/>
      <c r="AB135" s="102"/>
      <c r="AC135" s="102"/>
      <c r="AD135" s="102"/>
      <c r="AE135" s="102"/>
      <c r="AF135" s="102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</row>
    <row r="136" spans="1:43">
      <c r="A136" s="53" t="s">
        <v>247</v>
      </c>
      <c r="B136" s="21">
        <v>134201</v>
      </c>
      <c r="C136" s="21">
        <v>161605</v>
      </c>
      <c r="D136" s="21">
        <v>89218</v>
      </c>
      <c r="E136" s="21">
        <v>99933</v>
      </c>
      <c r="F136" s="21">
        <v>109177</v>
      </c>
      <c r="G136" s="21">
        <v>127010</v>
      </c>
      <c r="H136" s="21">
        <v>93575</v>
      </c>
      <c r="I136" s="21">
        <v>92316</v>
      </c>
      <c r="J136" s="7" t="s">
        <v>247</v>
      </c>
      <c r="K136" s="21">
        <v>49303</v>
      </c>
      <c r="L136" s="21">
        <v>41813</v>
      </c>
      <c r="M136" s="21">
        <v>33474</v>
      </c>
      <c r="N136" s="21">
        <v>31579</v>
      </c>
      <c r="O136" s="21">
        <v>30395</v>
      </c>
      <c r="P136" s="21">
        <v>35950</v>
      </c>
      <c r="Q136" s="21">
        <v>36278</v>
      </c>
      <c r="R136" s="21">
        <v>40720</v>
      </c>
      <c r="S136" s="3"/>
      <c r="T136" s="3"/>
      <c r="U136" s="3"/>
      <c r="V136" s="3"/>
      <c r="W136" s="3"/>
      <c r="X136" s="4"/>
      <c r="Y136" s="4"/>
      <c r="Z136" s="4"/>
      <c r="AA136" s="102"/>
      <c r="AB136" s="102"/>
      <c r="AC136" s="102"/>
      <c r="AD136" s="102"/>
      <c r="AE136" s="102"/>
      <c r="AF136" s="102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</row>
    <row r="137" spans="1:43">
      <c r="A137" s="54" t="s">
        <v>167</v>
      </c>
      <c r="B137" s="19">
        <v>100773</v>
      </c>
      <c r="C137" s="19">
        <v>83366</v>
      </c>
      <c r="D137" s="19">
        <v>74328</v>
      </c>
      <c r="E137" s="19">
        <v>74570</v>
      </c>
      <c r="F137" s="19">
        <v>72821</v>
      </c>
      <c r="G137" s="19">
        <v>66699</v>
      </c>
      <c r="H137" s="19">
        <v>67991</v>
      </c>
      <c r="I137" s="19">
        <v>63072</v>
      </c>
      <c r="J137" s="12" t="s">
        <v>167</v>
      </c>
      <c r="K137" s="20">
        <v>32349</v>
      </c>
      <c r="L137" s="20">
        <v>30253</v>
      </c>
      <c r="M137" s="20">
        <v>25913</v>
      </c>
      <c r="N137" s="20">
        <v>25742</v>
      </c>
      <c r="O137" s="20">
        <v>26104</v>
      </c>
      <c r="P137" s="20">
        <v>25575</v>
      </c>
      <c r="Q137" s="20">
        <v>23352</v>
      </c>
      <c r="R137" s="20">
        <v>23814</v>
      </c>
      <c r="S137" s="3"/>
      <c r="T137" s="3"/>
      <c r="U137" s="3"/>
      <c r="V137" s="3"/>
      <c r="W137" s="3"/>
      <c r="X137" s="4"/>
      <c r="Y137" s="4"/>
      <c r="Z137" s="4"/>
      <c r="AA137" s="102"/>
      <c r="AB137" s="102"/>
      <c r="AC137" s="102"/>
      <c r="AD137" s="102"/>
      <c r="AE137" s="102"/>
      <c r="AF137" s="102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</row>
    <row r="138" spans="1:43">
      <c r="A138" s="53" t="s">
        <v>168</v>
      </c>
      <c r="B138" s="21">
        <v>2152</v>
      </c>
      <c r="C138" s="21">
        <v>0</v>
      </c>
      <c r="D138" s="21">
        <v>0</v>
      </c>
      <c r="E138" s="21">
        <v>0</v>
      </c>
      <c r="F138" s="21">
        <v>0</v>
      </c>
      <c r="G138" s="21">
        <v>0</v>
      </c>
      <c r="H138" s="21">
        <v>0</v>
      </c>
      <c r="I138" s="21">
        <v>29</v>
      </c>
      <c r="J138" s="7" t="s">
        <v>168</v>
      </c>
      <c r="K138" s="21">
        <v>521</v>
      </c>
      <c r="L138" s="21">
        <v>512</v>
      </c>
      <c r="M138" s="21">
        <v>490</v>
      </c>
      <c r="N138" s="21">
        <v>544</v>
      </c>
      <c r="O138" s="21">
        <v>580</v>
      </c>
      <c r="P138" s="21">
        <v>507</v>
      </c>
      <c r="Q138" s="21">
        <v>521</v>
      </c>
      <c r="R138" s="21">
        <v>-1461</v>
      </c>
      <c r="S138" s="3"/>
      <c r="T138" s="3"/>
      <c r="U138" s="3"/>
      <c r="V138" s="3"/>
      <c r="W138" s="3"/>
      <c r="X138" s="4"/>
      <c r="Y138" s="4"/>
      <c r="Z138" s="4"/>
      <c r="AA138" s="102"/>
      <c r="AB138" s="102"/>
      <c r="AC138" s="102"/>
      <c r="AD138" s="102"/>
      <c r="AE138" s="102"/>
      <c r="AF138" s="102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</row>
    <row r="139" spans="1:43">
      <c r="A139" s="54" t="s">
        <v>169</v>
      </c>
      <c r="B139" s="19">
        <v>-3778</v>
      </c>
      <c r="C139" s="19">
        <v>-7111</v>
      </c>
      <c r="D139" s="19">
        <v>0</v>
      </c>
      <c r="E139" s="19">
        <v>-73</v>
      </c>
      <c r="F139" s="19">
        <v>-5468</v>
      </c>
      <c r="G139" s="19">
        <v>-5527</v>
      </c>
      <c r="H139" s="19">
        <v>0</v>
      </c>
      <c r="I139" s="19">
        <v>-4040</v>
      </c>
      <c r="J139" s="12" t="s">
        <v>169</v>
      </c>
      <c r="K139" s="20">
        <v>-2328</v>
      </c>
      <c r="L139" s="20">
        <v>-4098</v>
      </c>
      <c r="M139" s="20">
        <v>-985</v>
      </c>
      <c r="N139" s="20">
        <v>-246</v>
      </c>
      <c r="O139" s="20">
        <v>-617</v>
      </c>
      <c r="P139" s="20">
        <v>-1338</v>
      </c>
      <c r="Q139" s="20">
        <v>-1577</v>
      </c>
      <c r="R139" s="20">
        <v>-2434</v>
      </c>
      <c r="S139" s="3"/>
      <c r="T139" s="3"/>
      <c r="U139" s="3"/>
      <c r="V139" s="3"/>
      <c r="W139" s="3"/>
      <c r="X139" s="4"/>
      <c r="Y139" s="4"/>
      <c r="Z139" s="4"/>
      <c r="AA139" s="102"/>
      <c r="AB139" s="102"/>
      <c r="AC139" s="102"/>
      <c r="AD139" s="102"/>
      <c r="AE139" s="102"/>
      <c r="AF139" s="102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</row>
    <row r="140" spans="1:43">
      <c r="A140" s="53" t="s">
        <v>170</v>
      </c>
      <c r="B140" s="21">
        <v>0</v>
      </c>
      <c r="C140" s="21">
        <v>0</v>
      </c>
      <c r="D140" s="21">
        <v>2696</v>
      </c>
      <c r="E140" s="21">
        <v>0</v>
      </c>
      <c r="F140" s="21">
        <v>0</v>
      </c>
      <c r="G140" s="21">
        <v>0</v>
      </c>
      <c r="H140" s="21">
        <v>1052</v>
      </c>
      <c r="I140" s="21">
        <v>0</v>
      </c>
      <c r="J140" s="7" t="s">
        <v>170</v>
      </c>
      <c r="K140" s="21">
        <v>0</v>
      </c>
      <c r="L140" s="21">
        <v>0</v>
      </c>
      <c r="M140" s="21">
        <v>0</v>
      </c>
      <c r="N140" s="21">
        <v>0</v>
      </c>
      <c r="O140" s="21">
        <v>0</v>
      </c>
      <c r="P140" s="21">
        <v>0</v>
      </c>
      <c r="Q140" s="21">
        <v>0</v>
      </c>
      <c r="R140" s="21">
        <v>0</v>
      </c>
      <c r="S140" s="3"/>
      <c r="T140" s="3"/>
      <c r="U140" s="3"/>
      <c r="V140" s="3"/>
      <c r="W140" s="3"/>
      <c r="X140" s="4"/>
      <c r="Y140" s="4"/>
      <c r="Z140" s="4"/>
      <c r="AA140" s="102"/>
      <c r="AB140" s="102"/>
      <c r="AC140" s="102"/>
      <c r="AD140" s="102"/>
      <c r="AE140" s="102"/>
      <c r="AF140" s="102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</row>
    <row r="141" spans="1:43">
      <c r="A141" s="54" t="s">
        <v>172</v>
      </c>
      <c r="B141" s="19">
        <v>2942</v>
      </c>
      <c r="C141" s="19">
        <v>422</v>
      </c>
      <c r="D141" s="19">
        <v>1403</v>
      </c>
      <c r="E141" s="19">
        <v>1804</v>
      </c>
      <c r="F141" s="19">
        <v>677</v>
      </c>
      <c r="G141" s="19">
        <v>626</v>
      </c>
      <c r="H141" s="19">
        <v>668</v>
      </c>
      <c r="I141" s="19">
        <v>0</v>
      </c>
      <c r="J141" s="12" t="s">
        <v>172</v>
      </c>
      <c r="K141" s="20">
        <v>403</v>
      </c>
      <c r="L141" s="20">
        <v>1285</v>
      </c>
      <c r="M141" s="20">
        <v>0</v>
      </c>
      <c r="N141" s="20">
        <v>0</v>
      </c>
      <c r="O141" s="20">
        <v>1027</v>
      </c>
      <c r="P141" s="20">
        <v>1914</v>
      </c>
      <c r="Q141" s="20">
        <v>0</v>
      </c>
      <c r="R141" s="20">
        <v>0</v>
      </c>
      <c r="S141" s="3"/>
      <c r="T141" s="3"/>
      <c r="U141" s="3"/>
      <c r="V141" s="3"/>
      <c r="W141" s="3"/>
      <c r="X141" s="4"/>
      <c r="Y141" s="4"/>
      <c r="Z141" s="4"/>
      <c r="AA141" s="102"/>
      <c r="AB141" s="102"/>
      <c r="AC141" s="102"/>
      <c r="AD141" s="102"/>
      <c r="AE141" s="102"/>
      <c r="AF141" s="102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</row>
    <row r="142" spans="1:43">
      <c r="A142" s="53" t="s">
        <v>174</v>
      </c>
      <c r="B142" s="21">
        <v>0</v>
      </c>
      <c r="C142" s="21">
        <v>0</v>
      </c>
      <c r="D142" s="21">
        <v>0</v>
      </c>
      <c r="E142" s="21">
        <v>0</v>
      </c>
      <c r="F142" s="21">
        <v>0</v>
      </c>
      <c r="G142" s="21">
        <v>0</v>
      </c>
      <c r="H142" s="21">
        <v>0</v>
      </c>
      <c r="I142" s="21">
        <v>0</v>
      </c>
      <c r="J142" s="7" t="s">
        <v>174</v>
      </c>
      <c r="K142" s="21">
        <v>0</v>
      </c>
      <c r="L142" s="21">
        <v>0</v>
      </c>
      <c r="M142" s="21">
        <v>0</v>
      </c>
      <c r="N142" s="21">
        <v>0</v>
      </c>
      <c r="O142" s="21">
        <v>0</v>
      </c>
      <c r="P142" s="21">
        <v>0</v>
      </c>
      <c r="Q142" s="21">
        <v>0</v>
      </c>
      <c r="R142" s="21">
        <v>0</v>
      </c>
      <c r="S142" s="3"/>
      <c r="T142" s="3"/>
      <c r="U142" s="3"/>
      <c r="V142" s="3"/>
      <c r="W142" s="3"/>
      <c r="X142" s="4"/>
      <c r="Y142" s="4"/>
      <c r="Z142" s="4"/>
      <c r="AA142" s="102"/>
      <c r="AB142" s="102"/>
      <c r="AC142" s="102"/>
      <c r="AD142" s="102"/>
      <c r="AE142" s="102"/>
      <c r="AF142" s="102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</row>
    <row r="143" spans="1:43">
      <c r="A143" s="54" t="s">
        <v>176</v>
      </c>
      <c r="B143" s="19">
        <v>100</v>
      </c>
      <c r="C143" s="19">
        <v>761</v>
      </c>
      <c r="D143" s="19">
        <v>-139</v>
      </c>
      <c r="E143" s="19">
        <v>-299</v>
      </c>
      <c r="F143" s="19">
        <v>-300</v>
      </c>
      <c r="G143" s="19">
        <v>-355</v>
      </c>
      <c r="H143" s="19">
        <v>-434</v>
      </c>
      <c r="I143" s="19">
        <v>-56</v>
      </c>
      <c r="J143" s="12" t="s">
        <v>176</v>
      </c>
      <c r="K143" s="20">
        <v>37</v>
      </c>
      <c r="L143" s="20">
        <v>23</v>
      </c>
      <c r="M143" s="20">
        <v>33</v>
      </c>
      <c r="N143" s="20">
        <v>29</v>
      </c>
      <c r="O143" s="20">
        <v>60</v>
      </c>
      <c r="P143" s="20">
        <v>-58</v>
      </c>
      <c r="Q143" s="20">
        <v>68</v>
      </c>
      <c r="R143" s="20">
        <v>802</v>
      </c>
      <c r="S143" s="3"/>
      <c r="T143" s="3"/>
      <c r="U143" s="3"/>
      <c r="V143" s="3"/>
      <c r="W143" s="3"/>
      <c r="X143" s="4"/>
      <c r="Y143" s="4"/>
      <c r="Z143" s="4"/>
      <c r="AA143" s="102"/>
      <c r="AB143" s="102"/>
      <c r="AC143" s="102"/>
      <c r="AD143" s="102"/>
      <c r="AE143" s="102"/>
      <c r="AF143" s="102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</row>
    <row r="144" spans="1:43">
      <c r="A144" s="53" t="s">
        <v>177</v>
      </c>
      <c r="B144" s="21">
        <v>0</v>
      </c>
      <c r="C144" s="21">
        <v>0</v>
      </c>
      <c r="D144" s="21">
        <v>-53</v>
      </c>
      <c r="E144" s="21">
        <v>-205</v>
      </c>
      <c r="F144" s="21">
        <v>-271</v>
      </c>
      <c r="G144" s="21">
        <v>11</v>
      </c>
      <c r="H144" s="21">
        <v>-4</v>
      </c>
      <c r="I144" s="21">
        <v>-2</v>
      </c>
      <c r="J144" s="7" t="s">
        <v>177</v>
      </c>
      <c r="K144" s="21">
        <v>-38</v>
      </c>
      <c r="L144" s="21">
        <v>2678</v>
      </c>
      <c r="M144" s="21">
        <v>0</v>
      </c>
      <c r="N144" s="21">
        <v>35</v>
      </c>
      <c r="O144" s="21">
        <v>0</v>
      </c>
      <c r="P144" s="21">
        <v>-35</v>
      </c>
      <c r="Q144" s="21">
        <v>0</v>
      </c>
      <c r="R144" s="21">
        <v>-1</v>
      </c>
      <c r="S144" s="3"/>
      <c r="T144" s="3"/>
      <c r="U144" s="3"/>
      <c r="V144" s="3"/>
      <c r="W144" s="3"/>
      <c r="X144" s="4"/>
      <c r="Y144" s="4"/>
      <c r="Z144" s="4"/>
      <c r="AA144" s="102"/>
      <c r="AB144" s="102"/>
      <c r="AC144" s="102"/>
      <c r="AD144" s="102"/>
      <c r="AE144" s="102"/>
      <c r="AF144" s="102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</row>
    <row r="145" spans="1:43">
      <c r="A145" s="54" t="s">
        <v>178</v>
      </c>
      <c r="B145" s="19">
        <v>97</v>
      </c>
      <c r="C145" s="19">
        <v>17</v>
      </c>
      <c r="D145" s="19">
        <v>97</v>
      </c>
      <c r="E145" s="19">
        <v>52</v>
      </c>
      <c r="F145" s="19">
        <v>128</v>
      </c>
      <c r="G145" s="19">
        <v>69</v>
      </c>
      <c r="H145" s="19">
        <v>360</v>
      </c>
      <c r="I145" s="19">
        <v>501</v>
      </c>
      <c r="J145" s="12" t="s">
        <v>178</v>
      </c>
      <c r="K145" s="20">
        <v>24</v>
      </c>
      <c r="L145" s="20">
        <v>26</v>
      </c>
      <c r="M145" s="20">
        <v>-4</v>
      </c>
      <c r="N145" s="20">
        <v>30</v>
      </c>
      <c r="O145" s="20">
        <v>31</v>
      </c>
      <c r="P145" s="20">
        <v>30</v>
      </c>
      <c r="Q145" s="20">
        <v>6</v>
      </c>
      <c r="R145" s="20">
        <v>9</v>
      </c>
      <c r="S145" s="3"/>
      <c r="T145" s="3"/>
      <c r="U145" s="3"/>
      <c r="V145" s="3"/>
      <c r="W145" s="3"/>
      <c r="X145" s="4"/>
      <c r="Y145" s="4"/>
      <c r="Z145" s="4"/>
      <c r="AA145" s="102"/>
      <c r="AB145" s="102"/>
      <c r="AC145" s="102"/>
      <c r="AD145" s="102"/>
      <c r="AE145" s="102"/>
      <c r="AF145" s="102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</row>
    <row r="146" spans="1:43">
      <c r="A146" s="53" t="s">
        <v>16</v>
      </c>
      <c r="B146" s="21">
        <v>857</v>
      </c>
      <c r="C146" s="21">
        <v>-6744</v>
      </c>
      <c r="D146" s="21">
        <v>-16548</v>
      </c>
      <c r="E146" s="21">
        <v>23203</v>
      </c>
      <c r="F146" s="21">
        <v>-10362</v>
      </c>
      <c r="G146" s="21">
        <v>6690</v>
      </c>
      <c r="H146" s="21">
        <v>-9192</v>
      </c>
      <c r="I146" s="21">
        <v>-1428</v>
      </c>
      <c r="J146" s="7" t="s">
        <v>16</v>
      </c>
      <c r="K146" s="21">
        <v>-4228</v>
      </c>
      <c r="L146" s="21">
        <v>-7033</v>
      </c>
      <c r="M146" s="21">
        <v>-6976</v>
      </c>
      <c r="N146" s="21">
        <v>4875</v>
      </c>
      <c r="O146" s="21">
        <v>896</v>
      </c>
      <c r="P146" s="21">
        <v>-391</v>
      </c>
      <c r="Q146" s="21">
        <v>-4524</v>
      </c>
      <c r="R146" s="21">
        <v>5197</v>
      </c>
      <c r="S146" s="3"/>
      <c r="T146" s="3"/>
      <c r="U146" s="3"/>
      <c r="V146" s="3"/>
      <c r="W146" s="3"/>
      <c r="X146" s="4"/>
      <c r="Y146" s="4"/>
      <c r="Z146" s="4"/>
      <c r="AA146" s="102"/>
      <c r="AB146" s="102"/>
      <c r="AC146" s="102"/>
      <c r="AD146" s="102"/>
      <c r="AE146" s="102"/>
      <c r="AF146" s="102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</row>
    <row r="147" spans="1:43">
      <c r="A147" s="54" t="s">
        <v>14</v>
      </c>
      <c r="B147" s="19">
        <v>2793</v>
      </c>
      <c r="C147" s="19">
        <v>-6816</v>
      </c>
      <c r="D147" s="19">
        <v>-6022</v>
      </c>
      <c r="E147" s="19">
        <v>8179</v>
      </c>
      <c r="F147" s="19">
        <v>-1835</v>
      </c>
      <c r="G147" s="19">
        <v>-2894</v>
      </c>
      <c r="H147" s="19">
        <v>-2086</v>
      </c>
      <c r="I147" s="19">
        <v>-3265</v>
      </c>
      <c r="J147" s="12" t="s">
        <v>14</v>
      </c>
      <c r="K147" s="20">
        <v>-2376</v>
      </c>
      <c r="L147" s="20">
        <v>-2852</v>
      </c>
      <c r="M147" s="20">
        <v>-2723</v>
      </c>
      <c r="N147" s="20">
        <v>409</v>
      </c>
      <c r="O147" s="20">
        <v>5142</v>
      </c>
      <c r="P147" s="20">
        <v>489</v>
      </c>
      <c r="Q147" s="20">
        <v>-3247</v>
      </c>
      <c r="R147" s="20">
        <v>-1873</v>
      </c>
      <c r="S147" s="3"/>
      <c r="T147" s="3"/>
      <c r="U147" s="3"/>
      <c r="V147" s="3"/>
      <c r="W147" s="3"/>
      <c r="X147" s="4"/>
      <c r="Y147" s="4"/>
      <c r="Z147" s="4"/>
      <c r="AA147" s="102"/>
      <c r="AB147" s="102"/>
      <c r="AC147" s="102"/>
      <c r="AD147" s="102"/>
      <c r="AE147" s="102"/>
      <c r="AF147" s="102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</row>
    <row r="148" spans="1:43">
      <c r="A148" s="53" t="s">
        <v>18</v>
      </c>
      <c r="B148" s="21">
        <v>-618</v>
      </c>
      <c r="C148" s="21">
        <v>1416</v>
      </c>
      <c r="D148" s="21">
        <v>6202</v>
      </c>
      <c r="E148" s="21">
        <v>-6969</v>
      </c>
      <c r="F148" s="21">
        <v>3015</v>
      </c>
      <c r="G148" s="21">
        <v>-1824</v>
      </c>
      <c r="H148" s="21">
        <v>1607</v>
      </c>
      <c r="I148" s="21">
        <v>-897</v>
      </c>
      <c r="J148" s="7" t="s">
        <v>18</v>
      </c>
      <c r="K148" s="21">
        <v>-347</v>
      </c>
      <c r="L148" s="21">
        <v>1434</v>
      </c>
      <c r="M148" s="21">
        <v>2512</v>
      </c>
      <c r="N148" s="21">
        <v>1251</v>
      </c>
      <c r="O148" s="21">
        <v>-2260</v>
      </c>
      <c r="P148" s="21">
        <v>124</v>
      </c>
      <c r="Q148" s="21">
        <v>266</v>
      </c>
      <c r="R148" s="21">
        <v>37</v>
      </c>
      <c r="S148" s="3"/>
      <c r="T148" s="3"/>
      <c r="U148" s="3"/>
      <c r="V148" s="3"/>
      <c r="W148" s="3"/>
      <c r="X148" s="4"/>
      <c r="Y148" s="4"/>
      <c r="Z148" s="4"/>
      <c r="AA148" s="102"/>
      <c r="AB148" s="102"/>
      <c r="AC148" s="102"/>
      <c r="AD148" s="102"/>
      <c r="AE148" s="102"/>
      <c r="AF148" s="102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</row>
    <row r="149" spans="1:43">
      <c r="A149" s="54" t="s">
        <v>180</v>
      </c>
      <c r="B149" s="19">
        <v>-783</v>
      </c>
      <c r="C149" s="19">
        <v>-4893</v>
      </c>
      <c r="D149" s="19">
        <v>4721</v>
      </c>
      <c r="E149" s="19">
        <v>11753</v>
      </c>
      <c r="F149" s="19">
        <v>6536</v>
      </c>
      <c r="G149" s="19">
        <v>5575</v>
      </c>
      <c r="H149" s="19">
        <v>-3059</v>
      </c>
      <c r="I149" s="19">
        <v>-2549</v>
      </c>
      <c r="J149" s="12" t="s">
        <v>180</v>
      </c>
      <c r="K149" s="20">
        <v>-957</v>
      </c>
      <c r="L149" s="20">
        <v>3270</v>
      </c>
      <c r="M149" s="20">
        <v>3470</v>
      </c>
      <c r="N149" s="20">
        <v>5077</v>
      </c>
      <c r="O149" s="20">
        <v>-6466</v>
      </c>
      <c r="P149" s="20">
        <v>-2157</v>
      </c>
      <c r="Q149" s="20">
        <v>2763</v>
      </c>
      <c r="R149" s="20">
        <v>4075</v>
      </c>
      <c r="S149" s="3"/>
      <c r="T149" s="3"/>
      <c r="U149" s="3"/>
      <c r="V149" s="3"/>
      <c r="W149" s="3"/>
      <c r="X149" s="4"/>
      <c r="Y149" s="4"/>
      <c r="Z149" s="4"/>
      <c r="AA149" s="102"/>
      <c r="AB149" s="102"/>
      <c r="AC149" s="102"/>
      <c r="AD149" s="102"/>
      <c r="AE149" s="102"/>
      <c r="AF149" s="102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</row>
    <row r="150" spans="1:43">
      <c r="A150" s="53" t="s">
        <v>182</v>
      </c>
      <c r="B150" s="21">
        <v>238735</v>
      </c>
      <c r="C150" s="21">
        <v>222023</v>
      </c>
      <c r="D150" s="21">
        <v>155902</v>
      </c>
      <c r="E150" s="21">
        <v>211950</v>
      </c>
      <c r="F150" s="21">
        <v>174117</v>
      </c>
      <c r="G150" s="21">
        <v>196080</v>
      </c>
      <c r="H150" s="21">
        <v>150480</v>
      </c>
      <c r="I150" s="21">
        <v>143680</v>
      </c>
      <c r="J150" s="7" t="s">
        <v>182</v>
      </c>
      <c r="K150" s="21">
        <v>72363</v>
      </c>
      <c r="L150" s="21">
        <v>67309</v>
      </c>
      <c r="M150" s="21">
        <v>55205</v>
      </c>
      <c r="N150" s="21">
        <v>69326</v>
      </c>
      <c r="O150" s="21">
        <v>54893</v>
      </c>
      <c r="P150" s="21">
        <v>60611</v>
      </c>
      <c r="Q150" s="21">
        <v>53905</v>
      </c>
      <c r="R150" s="21">
        <v>68885</v>
      </c>
      <c r="S150" s="3"/>
      <c r="T150" s="3"/>
      <c r="U150" s="3"/>
      <c r="V150" s="3"/>
      <c r="W150" s="3"/>
      <c r="X150" s="4"/>
      <c r="Y150" s="4"/>
      <c r="Z150" s="4"/>
      <c r="AA150" s="102"/>
      <c r="AB150" s="102"/>
      <c r="AC150" s="102"/>
      <c r="AD150" s="102"/>
      <c r="AE150" s="102"/>
      <c r="AF150" s="102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</row>
    <row r="151" spans="1:43">
      <c r="A151" s="54" t="s">
        <v>184</v>
      </c>
      <c r="B151" s="19">
        <v>1035</v>
      </c>
      <c r="C151" s="19">
        <v>0</v>
      </c>
      <c r="D151" s="19">
        <v>1037</v>
      </c>
      <c r="E151" s="19">
        <v>21888</v>
      </c>
      <c r="F151" s="19">
        <v>9297</v>
      </c>
      <c r="G151" s="19">
        <v>-25468</v>
      </c>
      <c r="H151" s="19">
        <v>5924</v>
      </c>
      <c r="I151" s="19">
        <v>-43822</v>
      </c>
      <c r="J151" s="12" t="s">
        <v>184</v>
      </c>
      <c r="K151" s="20">
        <v>314</v>
      </c>
      <c r="L151" s="20">
        <v>0</v>
      </c>
      <c r="M151" s="20">
        <v>0</v>
      </c>
      <c r="N151" s="20">
        <v>0</v>
      </c>
      <c r="O151" s="20">
        <v>0</v>
      </c>
      <c r="P151" s="20">
        <v>1035</v>
      </c>
      <c r="Q151" s="20">
        <v>0</v>
      </c>
      <c r="R151" s="20">
        <v>0</v>
      </c>
      <c r="S151" s="3"/>
      <c r="T151" s="3"/>
      <c r="U151" s="3"/>
      <c r="V151" s="3"/>
      <c r="W151" s="3"/>
      <c r="X151" s="4"/>
      <c r="Y151" s="4"/>
      <c r="Z151" s="4"/>
      <c r="AA151" s="102"/>
      <c r="AB151" s="102"/>
      <c r="AC151" s="102"/>
      <c r="AD151" s="102"/>
      <c r="AE151" s="102"/>
      <c r="AF151" s="102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</row>
    <row r="152" spans="1:43">
      <c r="A152" s="53" t="s">
        <v>186</v>
      </c>
      <c r="B152" s="21">
        <v>5109</v>
      </c>
      <c r="C152" s="21">
        <v>15946</v>
      </c>
      <c r="D152" s="21">
        <v>6338</v>
      </c>
      <c r="E152" s="21">
        <v>5097</v>
      </c>
      <c r="F152" s="21">
        <v>17759</v>
      </c>
      <c r="G152" s="21">
        <v>259</v>
      </c>
      <c r="H152" s="21">
        <v>10474</v>
      </c>
      <c r="I152" s="21">
        <v>8</v>
      </c>
      <c r="J152" s="7" t="s">
        <v>186</v>
      </c>
      <c r="K152" s="21">
        <v>277</v>
      </c>
      <c r="L152" s="21">
        <v>165</v>
      </c>
      <c r="M152" s="21">
        <v>22</v>
      </c>
      <c r="N152" s="21">
        <v>570</v>
      </c>
      <c r="O152" s="21">
        <v>1864</v>
      </c>
      <c r="P152" s="21">
        <v>2675</v>
      </c>
      <c r="Q152" s="21">
        <v>0</v>
      </c>
      <c r="R152" s="21">
        <v>1050</v>
      </c>
      <c r="S152" s="3"/>
      <c r="T152" s="3"/>
      <c r="U152" s="3"/>
      <c r="V152" s="3"/>
      <c r="W152" s="3"/>
      <c r="X152" s="4"/>
      <c r="Y152" s="4"/>
      <c r="Z152" s="4"/>
      <c r="AA152" s="102"/>
      <c r="AB152" s="102"/>
      <c r="AC152" s="102"/>
      <c r="AD152" s="102"/>
      <c r="AE152" s="102"/>
      <c r="AF152" s="102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</row>
    <row r="153" spans="1:43">
      <c r="A153" s="54" t="s">
        <v>12</v>
      </c>
      <c r="B153" s="19">
        <v>-7391</v>
      </c>
      <c r="C153" s="19">
        <v>-8263</v>
      </c>
      <c r="D153" s="19">
        <v>-320</v>
      </c>
      <c r="E153" s="19">
        <v>-505</v>
      </c>
      <c r="F153" s="19">
        <v>-7395</v>
      </c>
      <c r="G153" s="19">
        <v>-13659</v>
      </c>
      <c r="H153" s="19">
        <v>-17038</v>
      </c>
      <c r="I153" s="19">
        <v>-30291</v>
      </c>
      <c r="J153" s="12" t="s">
        <v>12</v>
      </c>
      <c r="K153" s="20">
        <v>-71</v>
      </c>
      <c r="L153" s="20">
        <v>-19</v>
      </c>
      <c r="M153" s="20">
        <v>-2151</v>
      </c>
      <c r="N153" s="20">
        <v>-4656</v>
      </c>
      <c r="O153" s="20">
        <v>-2223</v>
      </c>
      <c r="P153" s="20">
        <v>-88</v>
      </c>
      <c r="Q153" s="20">
        <v>-423</v>
      </c>
      <c r="R153" s="20">
        <v>-137</v>
      </c>
      <c r="S153" s="3"/>
      <c r="T153" s="3"/>
      <c r="U153" s="3"/>
      <c r="V153" s="3"/>
      <c r="W153" s="3"/>
      <c r="X153" s="4"/>
      <c r="Y153" s="4"/>
      <c r="Z153" s="4"/>
      <c r="AA153" s="102"/>
      <c r="AB153" s="102"/>
      <c r="AC153" s="102"/>
      <c r="AD153" s="102"/>
      <c r="AE153" s="102"/>
      <c r="AF153" s="102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</row>
    <row r="154" spans="1:43">
      <c r="A154" s="53" t="s">
        <v>187</v>
      </c>
      <c r="B154" s="21">
        <v>4650</v>
      </c>
      <c r="C154" s="21">
        <v>388</v>
      </c>
      <c r="D154" s="21">
        <v>72</v>
      </c>
      <c r="E154" s="21">
        <v>2043</v>
      </c>
      <c r="F154" s="21">
        <v>55</v>
      </c>
      <c r="G154" s="21">
        <v>1278</v>
      </c>
      <c r="H154" s="21">
        <v>2087</v>
      </c>
      <c r="I154" s="21">
        <v>1714</v>
      </c>
      <c r="J154" s="7" t="s">
        <v>187</v>
      </c>
      <c r="K154" s="21">
        <v>1</v>
      </c>
      <c r="L154" s="21">
        <v>64</v>
      </c>
      <c r="M154" s="21">
        <v>19</v>
      </c>
      <c r="N154" s="21">
        <v>1594</v>
      </c>
      <c r="O154" s="21">
        <v>988</v>
      </c>
      <c r="P154" s="21">
        <v>1515</v>
      </c>
      <c r="Q154" s="21">
        <v>554</v>
      </c>
      <c r="R154" s="21">
        <v>325</v>
      </c>
      <c r="S154" s="3"/>
      <c r="T154" s="3"/>
      <c r="U154" s="3"/>
      <c r="V154" s="3"/>
      <c r="W154" s="3"/>
      <c r="X154" s="4"/>
      <c r="Y154" s="4"/>
      <c r="Z154" s="4"/>
      <c r="AA154" s="102"/>
      <c r="AB154" s="102"/>
      <c r="AC154" s="102"/>
      <c r="AD154" s="102"/>
      <c r="AE154" s="102"/>
      <c r="AF154" s="102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</row>
    <row r="155" spans="1:43">
      <c r="A155" s="54" t="s">
        <v>188</v>
      </c>
      <c r="B155" s="19">
        <v>-202758</v>
      </c>
      <c r="C155" s="19">
        <v>-182335</v>
      </c>
      <c r="D155" s="19">
        <v>-86971</v>
      </c>
      <c r="E155" s="19">
        <v>-56766</v>
      </c>
      <c r="F155" s="19">
        <v>-81303</v>
      </c>
      <c r="G155" s="19">
        <v>-77216</v>
      </c>
      <c r="H155" s="19">
        <v>-73659</v>
      </c>
      <c r="I155" s="19">
        <v>-76171</v>
      </c>
      <c r="J155" s="12" t="s">
        <v>188</v>
      </c>
      <c r="K155" s="20">
        <v>-77253</v>
      </c>
      <c r="L155" s="20">
        <v>-58622</v>
      </c>
      <c r="M155" s="20">
        <v>-47146</v>
      </c>
      <c r="N155" s="20">
        <v>-27595</v>
      </c>
      <c r="O155" s="20">
        <v>-36016</v>
      </c>
      <c r="P155" s="20">
        <v>-61954</v>
      </c>
      <c r="Q155" s="20">
        <v>-77193</v>
      </c>
      <c r="R155" s="20">
        <v>-43413</v>
      </c>
      <c r="S155" s="3"/>
      <c r="T155" s="3"/>
      <c r="U155" s="3"/>
      <c r="V155" s="3"/>
      <c r="W155" s="3"/>
      <c r="X155" s="4"/>
      <c r="Y155" s="4"/>
      <c r="Z155" s="4"/>
      <c r="AA155" s="102"/>
      <c r="AB155" s="102"/>
      <c r="AC155" s="102"/>
      <c r="AD155" s="102"/>
      <c r="AE155" s="102"/>
      <c r="AF155" s="102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</row>
    <row r="156" spans="1:43">
      <c r="A156" s="53" t="s">
        <v>189</v>
      </c>
      <c r="B156" s="21">
        <v>1246</v>
      </c>
      <c r="C156" s="21">
        <v>-8484</v>
      </c>
      <c r="D156" s="21">
        <v>-12129</v>
      </c>
      <c r="E156" s="21">
        <v>-3178</v>
      </c>
      <c r="F156" s="21">
        <v>-4353</v>
      </c>
      <c r="G156" s="21">
        <v>-2495</v>
      </c>
      <c r="H156" s="21">
        <v>-846</v>
      </c>
      <c r="I156" s="21">
        <v>-2312</v>
      </c>
      <c r="J156" s="7" t="s">
        <v>189</v>
      </c>
      <c r="K156" s="21">
        <v>1558</v>
      </c>
      <c r="L156" s="21">
        <v>-10</v>
      </c>
      <c r="M156" s="21">
        <v>-406</v>
      </c>
      <c r="N156" s="21">
        <v>-345</v>
      </c>
      <c r="O156" s="21">
        <v>-1440</v>
      </c>
      <c r="P156" s="21">
        <v>-610</v>
      </c>
      <c r="Q156" s="21">
        <v>3641</v>
      </c>
      <c r="R156" s="21">
        <v>-944</v>
      </c>
      <c r="S156" s="3"/>
      <c r="T156" s="3"/>
      <c r="U156" s="3"/>
      <c r="V156" s="3"/>
      <c r="W156" s="3"/>
      <c r="X156" s="4"/>
      <c r="Y156" s="4"/>
      <c r="Z156" s="4"/>
      <c r="AA156" s="102"/>
      <c r="AB156" s="102"/>
      <c r="AC156" s="102"/>
      <c r="AD156" s="102"/>
      <c r="AE156" s="102"/>
      <c r="AF156" s="102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</row>
    <row r="157" spans="1:43">
      <c r="A157" s="54" t="s">
        <v>190</v>
      </c>
      <c r="B157" s="19">
        <v>-198108</v>
      </c>
      <c r="C157" s="19">
        <v>-182747</v>
      </c>
      <c r="D157" s="19">
        <v>-91973</v>
      </c>
      <c r="E157" s="19">
        <v>-31150</v>
      </c>
      <c r="F157" s="19">
        <v>-65941</v>
      </c>
      <c r="G157" s="19">
        <v>-117302</v>
      </c>
      <c r="H157" s="19">
        <v>-73058</v>
      </c>
      <c r="I157" s="19">
        <v>-150875</v>
      </c>
      <c r="J157" s="12" t="s">
        <v>190</v>
      </c>
      <c r="K157" s="20">
        <v>-75174</v>
      </c>
      <c r="L157" s="20">
        <v>-58422</v>
      </c>
      <c r="M157" s="20">
        <v>-49662</v>
      </c>
      <c r="N157" s="20">
        <v>-30433</v>
      </c>
      <c r="O157" s="20">
        <v>-36827</v>
      </c>
      <c r="P157" s="20">
        <v>-57427</v>
      </c>
      <c r="Q157" s="20">
        <v>-73422</v>
      </c>
      <c r="R157" s="20">
        <v>-43118</v>
      </c>
      <c r="S157" s="3"/>
      <c r="T157" s="3"/>
      <c r="U157" s="3"/>
      <c r="V157" s="3"/>
      <c r="W157" s="3"/>
      <c r="X157" s="4"/>
      <c r="Y157" s="4"/>
      <c r="Z157" s="4"/>
      <c r="AA157" s="102"/>
      <c r="AB157" s="102"/>
      <c r="AC157" s="102"/>
      <c r="AD157" s="102"/>
      <c r="AE157" s="102"/>
      <c r="AF157" s="102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</row>
    <row r="158" spans="1:43">
      <c r="A158" s="53" t="s">
        <v>191</v>
      </c>
      <c r="B158" s="21">
        <v>0</v>
      </c>
      <c r="C158" s="21">
        <v>0</v>
      </c>
      <c r="D158" s="21">
        <v>0</v>
      </c>
      <c r="E158" s="21">
        <v>0</v>
      </c>
      <c r="F158" s="21">
        <v>0</v>
      </c>
      <c r="G158" s="21">
        <v>0</v>
      </c>
      <c r="H158" s="21">
        <v>0</v>
      </c>
      <c r="I158" s="21">
        <v>0</v>
      </c>
      <c r="J158" s="7" t="s">
        <v>191</v>
      </c>
      <c r="K158" s="21">
        <v>0</v>
      </c>
      <c r="L158" s="21">
        <v>0</v>
      </c>
      <c r="M158" s="21">
        <v>0</v>
      </c>
      <c r="N158" s="21">
        <v>0</v>
      </c>
      <c r="O158" s="21">
        <v>0</v>
      </c>
      <c r="P158" s="21">
        <v>0</v>
      </c>
      <c r="Q158" s="21">
        <v>0</v>
      </c>
      <c r="R158" s="21">
        <v>0</v>
      </c>
      <c r="S158" s="3"/>
      <c r="T158" s="3"/>
      <c r="U158" s="3"/>
      <c r="V158" s="3"/>
      <c r="W158" s="3"/>
      <c r="X158" s="4"/>
      <c r="Y158" s="4"/>
      <c r="Z158" s="4"/>
      <c r="AA158" s="102"/>
      <c r="AB158" s="102"/>
      <c r="AC158" s="102"/>
      <c r="AD158" s="102"/>
      <c r="AE158" s="102"/>
      <c r="AF158" s="102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</row>
    <row r="159" spans="1:43">
      <c r="A159" s="54" t="s">
        <v>192</v>
      </c>
      <c r="B159" s="19">
        <v>-77730</v>
      </c>
      <c r="C159" s="19">
        <v>-77708</v>
      </c>
      <c r="D159" s="19">
        <v>-76876</v>
      </c>
      <c r="E159" s="19">
        <v>-76881</v>
      </c>
      <c r="F159" s="19">
        <v>-77489</v>
      </c>
      <c r="G159" s="19">
        <v>-61825</v>
      </c>
      <c r="H159" s="19">
        <v>-46504</v>
      </c>
      <c r="I159" s="19">
        <v>-12344</v>
      </c>
      <c r="J159" s="12" t="s">
        <v>192</v>
      </c>
      <c r="K159" s="20">
        <v>-77749</v>
      </c>
      <c r="L159" s="20">
        <v>0</v>
      </c>
      <c r="M159" s="20">
        <v>0</v>
      </c>
      <c r="N159" s="20">
        <v>0</v>
      </c>
      <c r="O159" s="20">
        <v>-77730</v>
      </c>
      <c r="P159" s="20">
        <v>0</v>
      </c>
      <c r="Q159" s="20">
        <v>0</v>
      </c>
      <c r="R159" s="20">
        <v>0</v>
      </c>
      <c r="S159" s="3"/>
      <c r="T159" s="3"/>
      <c r="U159" s="3"/>
      <c r="V159" s="3"/>
      <c r="W159" s="3"/>
      <c r="X159" s="4"/>
      <c r="Y159" s="4"/>
      <c r="Z159" s="4"/>
      <c r="AA159" s="102"/>
      <c r="AB159" s="102"/>
      <c r="AC159" s="102"/>
      <c r="AD159" s="102"/>
      <c r="AE159" s="102"/>
      <c r="AF159" s="102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</row>
    <row r="160" spans="1:43">
      <c r="A160" s="53" t="s">
        <v>193</v>
      </c>
      <c r="B160" s="21">
        <v>0</v>
      </c>
      <c r="C160" s="21">
        <v>0</v>
      </c>
      <c r="D160" s="21">
        <v>0</v>
      </c>
      <c r="E160" s="21">
        <v>-4117</v>
      </c>
      <c r="F160" s="21">
        <v>-4859</v>
      </c>
      <c r="G160" s="21">
        <v>-3690</v>
      </c>
      <c r="H160" s="21">
        <v>-3318</v>
      </c>
      <c r="I160" s="21">
        <v>-809</v>
      </c>
      <c r="J160" s="7" t="s">
        <v>193</v>
      </c>
      <c r="K160" s="21">
        <v>0</v>
      </c>
      <c r="L160" s="21">
        <v>0</v>
      </c>
      <c r="M160" s="21">
        <v>0</v>
      </c>
      <c r="N160" s="21">
        <v>0</v>
      </c>
      <c r="O160" s="21">
        <v>0</v>
      </c>
      <c r="P160" s="21">
        <v>0</v>
      </c>
      <c r="Q160" s="21">
        <v>0</v>
      </c>
      <c r="R160" s="21">
        <v>0</v>
      </c>
      <c r="S160" s="3"/>
      <c r="T160" s="3"/>
      <c r="U160" s="3"/>
      <c r="V160" s="3"/>
      <c r="W160" s="3"/>
      <c r="X160" s="4"/>
      <c r="Y160" s="4"/>
      <c r="Z160" s="4"/>
      <c r="AA160" s="102"/>
      <c r="AB160" s="102"/>
      <c r="AC160" s="102"/>
      <c r="AD160" s="102"/>
      <c r="AE160" s="102"/>
      <c r="AF160" s="102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</row>
    <row r="161" spans="1:43">
      <c r="A161" s="54" t="s">
        <v>194</v>
      </c>
      <c r="B161" s="19">
        <v>-4982</v>
      </c>
      <c r="C161" s="19">
        <v>30909</v>
      </c>
      <c r="D161" s="19">
        <v>0</v>
      </c>
      <c r="E161" s="19">
        <v>0</v>
      </c>
      <c r="F161" s="19">
        <v>0</v>
      </c>
      <c r="G161" s="19">
        <v>0</v>
      </c>
      <c r="H161" s="19">
        <v>0</v>
      </c>
      <c r="I161" s="19">
        <v>0</v>
      </c>
      <c r="J161" s="12" t="s">
        <v>194</v>
      </c>
      <c r="K161" s="20">
        <v>-1023</v>
      </c>
      <c r="L161" s="20">
        <v>-3915</v>
      </c>
      <c r="M161" s="20">
        <v>8761</v>
      </c>
      <c r="N161" s="20">
        <v>-20787</v>
      </c>
      <c r="O161" s="20">
        <v>13573</v>
      </c>
      <c r="P161" s="20">
        <v>-1035</v>
      </c>
      <c r="Q161" s="20">
        <v>3268</v>
      </c>
      <c r="R161" s="20">
        <v>-6687</v>
      </c>
      <c r="S161" s="3"/>
      <c r="T161" s="3"/>
      <c r="U161" s="3"/>
      <c r="V161" s="3"/>
      <c r="W161" s="3"/>
      <c r="X161" s="4"/>
      <c r="Y161" s="4"/>
      <c r="Z161" s="4"/>
      <c r="AA161" s="102"/>
      <c r="AB161" s="102"/>
      <c r="AC161" s="102"/>
      <c r="AD161" s="102"/>
      <c r="AE161" s="102"/>
      <c r="AF161" s="102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</row>
    <row r="162" spans="1:43">
      <c r="A162" s="53" t="s">
        <v>195</v>
      </c>
      <c r="B162" s="21">
        <v>-719</v>
      </c>
      <c r="C162" s="21">
        <v>-467</v>
      </c>
      <c r="D162" s="21">
        <v>-772</v>
      </c>
      <c r="E162" s="21">
        <v>-3217</v>
      </c>
      <c r="F162" s="21">
        <v>2881</v>
      </c>
      <c r="G162" s="21">
        <v>-1187</v>
      </c>
      <c r="H162" s="21">
        <v>-2278</v>
      </c>
      <c r="I162" s="21">
        <v>865</v>
      </c>
      <c r="J162" s="7" t="s">
        <v>195</v>
      </c>
      <c r="K162" s="21">
        <v>0</v>
      </c>
      <c r="L162" s="21">
        <v>54</v>
      </c>
      <c r="M162" s="21">
        <v>0</v>
      </c>
      <c r="N162" s="21">
        <v>-816</v>
      </c>
      <c r="O162" s="21">
        <v>816</v>
      </c>
      <c r="P162" s="21">
        <v>-913</v>
      </c>
      <c r="Q162" s="21">
        <v>194</v>
      </c>
      <c r="R162" s="21">
        <v>-52</v>
      </c>
      <c r="S162" s="3"/>
      <c r="T162" s="3"/>
      <c r="U162" s="3"/>
      <c r="V162" s="3"/>
      <c r="W162" s="3"/>
      <c r="X162" s="4"/>
      <c r="Y162" s="4"/>
      <c r="Z162" s="4"/>
      <c r="AA162" s="102"/>
      <c r="AB162" s="102"/>
      <c r="AC162" s="102"/>
      <c r="AD162" s="102"/>
      <c r="AE162" s="102"/>
      <c r="AF162" s="102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</row>
    <row r="163" spans="1:43">
      <c r="A163" s="54" t="s">
        <v>196</v>
      </c>
      <c r="B163" s="19">
        <v>18000</v>
      </c>
      <c r="C163" s="19">
        <v>0</v>
      </c>
      <c r="D163" s="19">
        <v>0</v>
      </c>
      <c r="E163" s="19">
        <v>0</v>
      </c>
      <c r="F163" s="19">
        <v>0</v>
      </c>
      <c r="G163" s="19">
        <v>0</v>
      </c>
      <c r="H163" s="19">
        <v>0</v>
      </c>
      <c r="I163" s="19">
        <v>0</v>
      </c>
      <c r="J163" s="12" t="s">
        <v>196</v>
      </c>
      <c r="K163" s="20">
        <v>40600</v>
      </c>
      <c r="L163" s="20">
        <v>0</v>
      </c>
      <c r="M163" s="20">
        <v>17000</v>
      </c>
      <c r="N163" s="20">
        <v>0</v>
      </c>
      <c r="O163" s="20">
        <v>18000</v>
      </c>
      <c r="P163" s="20">
        <v>0</v>
      </c>
      <c r="Q163" s="20">
        <v>0</v>
      </c>
      <c r="R163" s="20">
        <v>0</v>
      </c>
      <c r="S163" s="3"/>
      <c r="T163" s="3"/>
      <c r="U163" s="3"/>
      <c r="V163" s="3"/>
      <c r="W163" s="3"/>
      <c r="X163" s="4"/>
      <c r="Y163" s="4"/>
      <c r="Z163" s="4"/>
      <c r="AA163" s="102"/>
      <c r="AB163" s="102"/>
      <c r="AC163" s="102"/>
      <c r="AD163" s="102"/>
      <c r="AE163" s="102"/>
      <c r="AF163" s="102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</row>
    <row r="164" spans="1:43">
      <c r="A164" s="53" t="s">
        <v>197</v>
      </c>
      <c r="B164" s="21">
        <v>0</v>
      </c>
      <c r="C164" s="21">
        <v>0</v>
      </c>
      <c r="D164" s="21">
        <v>-8000</v>
      </c>
      <c r="E164" s="21">
        <v>0</v>
      </c>
      <c r="F164" s="21">
        <v>-7000</v>
      </c>
      <c r="G164" s="21">
        <v>0</v>
      </c>
      <c r="H164" s="21">
        <v>-10500</v>
      </c>
      <c r="I164" s="21">
        <v>-5000</v>
      </c>
      <c r="J164" s="7" t="s">
        <v>197</v>
      </c>
      <c r="K164" s="21">
        <v>0</v>
      </c>
      <c r="L164" s="21">
        <v>0</v>
      </c>
      <c r="M164" s="21">
        <v>-4500</v>
      </c>
      <c r="N164" s="21">
        <v>0</v>
      </c>
      <c r="O164" s="21">
        <v>0</v>
      </c>
      <c r="P164" s="21">
        <v>0</v>
      </c>
      <c r="Q164" s="21">
        <v>0</v>
      </c>
      <c r="R164" s="21">
        <v>0</v>
      </c>
      <c r="S164" s="3"/>
      <c r="T164" s="3"/>
      <c r="U164" s="3"/>
      <c r="V164" s="3"/>
      <c r="W164" s="3"/>
      <c r="X164" s="4"/>
      <c r="Y164" s="4"/>
      <c r="Z164" s="4"/>
      <c r="AA164" s="102"/>
      <c r="AB164" s="102"/>
      <c r="AC164" s="102"/>
      <c r="AD164" s="102"/>
      <c r="AE164" s="102"/>
      <c r="AF164" s="102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</row>
    <row r="165" spans="1:43">
      <c r="A165" s="54" t="s">
        <v>198</v>
      </c>
      <c r="B165" s="19">
        <v>-72</v>
      </c>
      <c r="C165" s="19">
        <v>0</v>
      </c>
      <c r="D165" s="19">
        <v>0</v>
      </c>
      <c r="E165" s="19">
        <v>-33481</v>
      </c>
      <c r="F165" s="19">
        <v>-45413</v>
      </c>
      <c r="G165" s="19">
        <v>0</v>
      </c>
      <c r="H165" s="19">
        <v>0</v>
      </c>
      <c r="I165" s="19">
        <v>-7060</v>
      </c>
      <c r="J165" s="12" t="s">
        <v>198</v>
      </c>
      <c r="K165" s="20">
        <v>0</v>
      </c>
      <c r="L165" s="20">
        <v>0</v>
      </c>
      <c r="M165" s="20">
        <v>0</v>
      </c>
      <c r="N165" s="20">
        <v>0</v>
      </c>
      <c r="O165" s="20">
        <v>-72</v>
      </c>
      <c r="P165" s="20">
        <v>0</v>
      </c>
      <c r="Q165" s="20">
        <v>0</v>
      </c>
      <c r="R165" s="20">
        <v>0</v>
      </c>
      <c r="S165" s="3"/>
      <c r="T165" s="3"/>
      <c r="U165" s="3"/>
      <c r="V165" s="3"/>
      <c r="W165" s="3"/>
      <c r="X165" s="4"/>
      <c r="Y165" s="4"/>
      <c r="Z165" s="4"/>
      <c r="AA165" s="102"/>
      <c r="AB165" s="102"/>
      <c r="AC165" s="102"/>
      <c r="AD165" s="102"/>
      <c r="AE165" s="102"/>
      <c r="AF165" s="102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</row>
    <row r="166" spans="1:43">
      <c r="A166" s="53" t="s">
        <v>199</v>
      </c>
      <c r="B166" s="21">
        <v>627</v>
      </c>
      <c r="C166" s="21">
        <v>458</v>
      </c>
      <c r="D166" s="21">
        <v>555</v>
      </c>
      <c r="E166" s="21">
        <v>2683</v>
      </c>
      <c r="F166" s="21">
        <v>-4014</v>
      </c>
      <c r="G166" s="21">
        <v>2680</v>
      </c>
      <c r="H166" s="21">
        <v>5029</v>
      </c>
      <c r="I166" s="21">
        <v>-1213</v>
      </c>
      <c r="J166" s="7" t="s">
        <v>199</v>
      </c>
      <c r="K166" s="21">
        <v>12</v>
      </c>
      <c r="L166" s="21">
        <v>-180</v>
      </c>
      <c r="M166" s="21">
        <v>77</v>
      </c>
      <c r="N166" s="21">
        <v>822</v>
      </c>
      <c r="O166" s="21">
        <v>-800</v>
      </c>
      <c r="P166" s="21">
        <v>724</v>
      </c>
      <c r="Q166" s="21">
        <v>-119</v>
      </c>
      <c r="R166" s="21">
        <v>84</v>
      </c>
      <c r="S166" s="3"/>
      <c r="T166" s="3"/>
      <c r="U166" s="3"/>
      <c r="V166" s="3"/>
      <c r="W166" s="3"/>
      <c r="X166" s="4"/>
      <c r="Y166" s="4"/>
      <c r="Z166" s="4"/>
      <c r="AA166" s="102"/>
      <c r="AB166" s="102"/>
      <c r="AC166" s="102"/>
      <c r="AD166" s="102"/>
      <c r="AE166" s="102"/>
      <c r="AF166" s="102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</row>
    <row r="167" spans="1:43">
      <c r="A167" s="54" t="s">
        <v>200</v>
      </c>
      <c r="B167" s="19">
        <v>-64875</v>
      </c>
      <c r="C167" s="19">
        <v>-46808</v>
      </c>
      <c r="D167" s="19">
        <v>-85094</v>
      </c>
      <c r="E167" s="19">
        <v>-115013</v>
      </c>
      <c r="F167" s="19">
        <v>-135893</v>
      </c>
      <c r="G167" s="19">
        <v>-64022</v>
      </c>
      <c r="H167" s="19">
        <v>-57570</v>
      </c>
      <c r="I167" s="19">
        <v>-25561</v>
      </c>
      <c r="J167" s="12" t="s">
        <v>200</v>
      </c>
      <c r="K167" s="20">
        <v>-38160</v>
      </c>
      <c r="L167" s="20">
        <v>-4041</v>
      </c>
      <c r="M167" s="20">
        <v>21338</v>
      </c>
      <c r="N167" s="20">
        <v>-20781</v>
      </c>
      <c r="O167" s="20">
        <v>-46212</v>
      </c>
      <c r="P167" s="20">
        <v>-1224</v>
      </c>
      <c r="Q167" s="20">
        <v>3343</v>
      </c>
      <c r="R167" s="20">
        <v>-6655</v>
      </c>
      <c r="S167" s="3"/>
      <c r="T167" s="3"/>
      <c r="U167" s="3"/>
      <c r="V167" s="3"/>
      <c r="W167" s="3"/>
      <c r="X167" s="4"/>
      <c r="Y167" s="4"/>
      <c r="Z167" s="4"/>
      <c r="AA167" s="102"/>
      <c r="AB167" s="102"/>
      <c r="AC167" s="102"/>
      <c r="AD167" s="102"/>
      <c r="AE167" s="102"/>
      <c r="AF167" s="102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</row>
    <row r="168" spans="1:43">
      <c r="A168" s="53" t="s">
        <v>201</v>
      </c>
      <c r="B168" s="21">
        <v>0</v>
      </c>
      <c r="C168" s="21">
        <v>0</v>
      </c>
      <c r="D168" s="21">
        <v>0</v>
      </c>
      <c r="E168" s="21">
        <v>0</v>
      </c>
      <c r="F168" s="21">
        <v>0</v>
      </c>
      <c r="G168" s="21">
        <v>0</v>
      </c>
      <c r="H168" s="21">
        <v>0</v>
      </c>
      <c r="I168" s="21">
        <v>0</v>
      </c>
      <c r="J168" s="7" t="s">
        <v>201</v>
      </c>
      <c r="K168" s="21">
        <v>0</v>
      </c>
      <c r="L168" s="21">
        <v>0</v>
      </c>
      <c r="M168" s="21">
        <v>0</v>
      </c>
      <c r="N168" s="21">
        <v>0</v>
      </c>
      <c r="O168" s="21">
        <v>0</v>
      </c>
      <c r="P168" s="21">
        <v>0</v>
      </c>
      <c r="Q168" s="21">
        <v>0</v>
      </c>
      <c r="R168" s="21">
        <v>0</v>
      </c>
      <c r="S168" s="3"/>
      <c r="T168" s="3"/>
      <c r="U168" s="3"/>
      <c r="V168" s="3"/>
      <c r="W168" s="3"/>
      <c r="X168" s="4"/>
      <c r="Y168" s="4"/>
      <c r="Z168" s="4"/>
      <c r="AA168" s="102"/>
      <c r="AB168" s="102"/>
      <c r="AC168" s="102"/>
      <c r="AD168" s="102"/>
      <c r="AE168" s="102"/>
      <c r="AF168" s="102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</row>
    <row r="169" spans="1:43">
      <c r="A169" s="54" t="s">
        <v>202</v>
      </c>
      <c r="B169" s="19">
        <v>-24249</v>
      </c>
      <c r="C169" s="19">
        <v>-7532</v>
      </c>
      <c r="D169" s="19">
        <v>-21165</v>
      </c>
      <c r="E169" s="19">
        <v>65786</v>
      </c>
      <c r="F169" s="19">
        <v>-27718</v>
      </c>
      <c r="G169" s="19">
        <v>14756</v>
      </c>
      <c r="H169" s="19">
        <v>19852</v>
      </c>
      <c r="I169" s="19">
        <v>-32756</v>
      </c>
      <c r="J169" s="12" t="s">
        <v>202</v>
      </c>
      <c r="K169" s="20">
        <v>-40971</v>
      </c>
      <c r="L169" s="20">
        <v>4845</v>
      </c>
      <c r="M169" s="20">
        <v>26881</v>
      </c>
      <c r="N169" s="20">
        <v>18112</v>
      </c>
      <c r="O169" s="20">
        <v>-28147</v>
      </c>
      <c r="P169" s="20">
        <v>1961</v>
      </c>
      <c r="Q169" s="20">
        <v>-16174</v>
      </c>
      <c r="R169" s="20">
        <v>19112</v>
      </c>
      <c r="S169" s="3"/>
      <c r="T169" s="3"/>
      <c r="U169" s="3"/>
      <c r="V169" s="3"/>
      <c r="W169" s="3"/>
      <c r="X169" s="4"/>
      <c r="Y169" s="4"/>
      <c r="Z169" s="4"/>
      <c r="AA169" s="102"/>
      <c r="AB169" s="102"/>
      <c r="AC169" s="102"/>
      <c r="AD169" s="102"/>
      <c r="AE169" s="102"/>
      <c r="AF169" s="102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</row>
    <row r="170" spans="1:43">
      <c r="A170" s="53" t="s">
        <v>203</v>
      </c>
      <c r="B170" s="21">
        <v>109511</v>
      </c>
      <c r="C170" s="21">
        <v>117044</v>
      </c>
      <c r="D170" s="21">
        <v>138208</v>
      </c>
      <c r="E170" s="21">
        <v>72422</v>
      </c>
      <c r="F170" s="21">
        <v>100140</v>
      </c>
      <c r="G170" s="21">
        <v>85384</v>
      </c>
      <c r="H170" s="21">
        <v>65532</v>
      </c>
      <c r="I170" s="21">
        <v>98288</v>
      </c>
      <c r="J170" s="7" t="s">
        <v>203</v>
      </c>
      <c r="K170" s="21">
        <v>116989</v>
      </c>
      <c r="L170" s="21">
        <v>112144</v>
      </c>
      <c r="M170" s="21">
        <v>85263</v>
      </c>
      <c r="N170" s="21">
        <v>67151</v>
      </c>
      <c r="O170" s="21">
        <v>95297</v>
      </c>
      <c r="P170" s="21">
        <v>93337</v>
      </c>
      <c r="Q170" s="21">
        <v>109511</v>
      </c>
      <c r="R170" s="21">
        <v>90400</v>
      </c>
      <c r="X170" s="66"/>
      <c r="Y170" s="66"/>
      <c r="Z170" s="66"/>
      <c r="AA170" s="102"/>
      <c r="AB170" s="102"/>
      <c r="AC170" s="102"/>
      <c r="AD170" s="102"/>
      <c r="AE170" s="102"/>
      <c r="AF170" s="102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</row>
    <row r="171" spans="1:43">
      <c r="A171" s="54" t="s">
        <v>204</v>
      </c>
      <c r="B171" s="19">
        <v>85263</v>
      </c>
      <c r="C171" s="19">
        <v>109511</v>
      </c>
      <c r="D171" s="19">
        <v>117044</v>
      </c>
      <c r="E171" s="19">
        <v>138208</v>
      </c>
      <c r="F171" s="19">
        <v>72422</v>
      </c>
      <c r="G171" s="19">
        <v>100140</v>
      </c>
      <c r="H171" s="19">
        <v>85384</v>
      </c>
      <c r="I171" s="19">
        <v>65532</v>
      </c>
      <c r="J171" s="12" t="s">
        <v>204</v>
      </c>
      <c r="K171" s="20">
        <v>76018</v>
      </c>
      <c r="L171" s="20">
        <v>116989</v>
      </c>
      <c r="M171" s="20">
        <v>112144</v>
      </c>
      <c r="N171" s="20">
        <v>85263</v>
      </c>
      <c r="O171" s="20">
        <v>67151</v>
      </c>
      <c r="P171" s="20">
        <v>95297</v>
      </c>
      <c r="Q171" s="20">
        <v>93337</v>
      </c>
      <c r="R171" s="20">
        <v>109511</v>
      </c>
      <c r="X171" s="66"/>
      <c r="Y171" s="66"/>
      <c r="Z171" s="66"/>
      <c r="AA171" s="102"/>
      <c r="AB171" s="102"/>
      <c r="AC171" s="102"/>
      <c r="AD171" s="102"/>
      <c r="AE171" s="102"/>
      <c r="AF171" s="102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</row>
    <row r="172" spans="1:43">
      <c r="A172" s="53" t="s">
        <v>205</v>
      </c>
      <c r="B172" s="21">
        <v>369</v>
      </c>
      <c r="C172" s="21">
        <v>201</v>
      </c>
      <c r="D172" s="21">
        <v>352</v>
      </c>
      <c r="E172" s="21">
        <v>355</v>
      </c>
      <c r="F172" s="21">
        <v>661</v>
      </c>
      <c r="G172" s="21">
        <v>661</v>
      </c>
      <c r="H172" s="21">
        <v>2270</v>
      </c>
      <c r="I172" s="21">
        <v>1379</v>
      </c>
      <c r="J172" s="7" t="s">
        <v>205</v>
      </c>
      <c r="K172" s="21">
        <v>364</v>
      </c>
      <c r="L172" s="21">
        <v>48</v>
      </c>
      <c r="M172" s="21">
        <v>219</v>
      </c>
      <c r="N172" s="21">
        <v>77</v>
      </c>
      <c r="O172" s="21">
        <v>70</v>
      </c>
      <c r="P172" s="21">
        <v>40</v>
      </c>
      <c r="Q172" s="21">
        <v>181</v>
      </c>
      <c r="R172" s="21">
        <v>29</v>
      </c>
      <c r="X172" s="66"/>
      <c r="Y172" s="66"/>
      <c r="Z172" s="66"/>
      <c r="AA172" s="102"/>
      <c r="AB172" s="102"/>
      <c r="AC172" s="102"/>
      <c r="AD172" s="102"/>
      <c r="AE172" s="102"/>
      <c r="AF172" s="102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</row>
    <row r="173" spans="1:43">
      <c r="A173" s="54" t="s">
        <v>206</v>
      </c>
      <c r="B173" s="75">
        <v>7454</v>
      </c>
      <c r="C173" s="75">
        <v>9640</v>
      </c>
      <c r="D173" s="75">
        <v>7791</v>
      </c>
      <c r="E173" s="75">
        <v>10282</v>
      </c>
      <c r="F173" s="75">
        <v>7330</v>
      </c>
      <c r="G173" s="75">
        <v>3190</v>
      </c>
      <c r="H173" s="75">
        <v>87</v>
      </c>
      <c r="I173" s="75">
        <v>310</v>
      </c>
      <c r="J173" s="12" t="s">
        <v>206</v>
      </c>
      <c r="K173" s="20">
        <v>21</v>
      </c>
      <c r="L173" s="20">
        <v>10222</v>
      </c>
      <c r="M173" s="20">
        <v>48</v>
      </c>
      <c r="N173" s="20">
        <v>18</v>
      </c>
      <c r="O173" s="20">
        <v>20</v>
      </c>
      <c r="P173" s="20">
        <v>7203</v>
      </c>
      <c r="Q173" s="20">
        <v>214</v>
      </c>
      <c r="R173" s="20">
        <v>29</v>
      </c>
      <c r="X173" s="66"/>
      <c r="Y173" s="66"/>
      <c r="Z173" s="66"/>
      <c r="AA173" s="102"/>
      <c r="AB173" s="102"/>
      <c r="AC173" s="102"/>
      <c r="AD173" s="102"/>
      <c r="AE173" s="102"/>
      <c r="AF173" s="102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</row>
    <row r="174" spans="1:43">
      <c r="A174" s="53" t="s">
        <v>248</v>
      </c>
      <c r="B174" s="73">
        <v>40627</v>
      </c>
      <c r="C174" s="73">
        <v>39276</v>
      </c>
      <c r="D174" s="73">
        <v>63929</v>
      </c>
      <c r="E174" s="73">
        <v>180800</v>
      </c>
      <c r="F174" s="73">
        <v>108176</v>
      </c>
      <c r="G174" s="73">
        <v>78778</v>
      </c>
      <c r="H174" s="73">
        <v>77422</v>
      </c>
      <c r="I174" s="73">
        <v>-7195</v>
      </c>
      <c r="J174" s="7" t="s">
        <v>248</v>
      </c>
      <c r="K174" s="21">
        <v>-2811</v>
      </c>
      <c r="L174" s="21">
        <v>8887</v>
      </c>
      <c r="M174" s="21">
        <v>5543</v>
      </c>
      <c r="N174" s="21">
        <v>38893</v>
      </c>
      <c r="O174" s="21">
        <v>18066</v>
      </c>
      <c r="P174" s="21">
        <v>3184</v>
      </c>
      <c r="Q174" s="21">
        <v>-19517</v>
      </c>
      <c r="R174" s="21">
        <v>25767</v>
      </c>
      <c r="X174" s="66"/>
      <c r="Y174" s="66"/>
      <c r="Z174" s="66"/>
      <c r="AA174" s="102"/>
      <c r="AB174" s="102"/>
      <c r="AC174" s="102"/>
      <c r="AD174" s="102"/>
      <c r="AE174" s="102"/>
      <c r="AF174" s="102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</row>
    <row r="175" spans="1:43">
      <c r="A175" s="139" t="s">
        <v>171</v>
      </c>
      <c r="B175" s="76">
        <v>78.3</v>
      </c>
      <c r="C175" s="76">
        <v>75</v>
      </c>
      <c r="D175" s="76">
        <v>65.2</v>
      </c>
      <c r="E175" s="76">
        <v>69.8</v>
      </c>
      <c r="F175" s="76">
        <v>73.099999999999994</v>
      </c>
      <c r="G175" s="76">
        <v>70</v>
      </c>
      <c r="H175" s="76">
        <v>64.3</v>
      </c>
      <c r="I175" s="76">
        <v>68.5</v>
      </c>
      <c r="J175" s="66"/>
      <c r="K175" s="66"/>
      <c r="L175" s="66"/>
      <c r="M175" s="66"/>
      <c r="N175" s="66"/>
      <c r="O175" s="66"/>
      <c r="P175" s="66"/>
      <c r="Q175" s="66"/>
      <c r="R175" s="66"/>
      <c r="X175" s="66"/>
      <c r="Y175" s="66"/>
      <c r="Z175" s="66"/>
      <c r="AA175" s="102"/>
      <c r="AB175" s="102"/>
      <c r="AC175" s="102"/>
      <c r="AD175" s="102"/>
      <c r="AE175" s="102"/>
      <c r="AF175" s="102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</row>
    <row r="176" spans="1:43">
      <c r="A176" s="140" t="s">
        <v>173</v>
      </c>
      <c r="B176" s="73">
        <v>62.2</v>
      </c>
      <c r="C176" s="73">
        <v>57</v>
      </c>
      <c r="D176" s="73">
        <v>38.700000000000003</v>
      </c>
      <c r="E176" s="73">
        <v>36.4</v>
      </c>
      <c r="F176" s="73">
        <v>57.4</v>
      </c>
      <c r="G176" s="73">
        <v>52.3</v>
      </c>
      <c r="H176" s="73">
        <v>46.2</v>
      </c>
      <c r="I176" s="73">
        <v>40.700000000000003</v>
      </c>
      <c r="J176" s="66"/>
      <c r="K176" s="66"/>
      <c r="L176" s="66"/>
      <c r="M176" s="66"/>
      <c r="N176" s="66"/>
      <c r="O176" s="66"/>
      <c r="P176" s="66"/>
      <c r="Q176" s="66"/>
      <c r="R176" s="66"/>
      <c r="X176" s="66"/>
      <c r="Y176" s="66"/>
      <c r="Z176" s="66"/>
      <c r="AA176" s="102"/>
      <c r="AB176" s="102"/>
      <c r="AC176" s="102"/>
      <c r="AD176" s="102"/>
      <c r="AE176" s="102"/>
      <c r="AF176" s="102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</row>
    <row r="177" spans="1:43" ht="17.25" thickBot="1">
      <c r="A177" s="141" t="s">
        <v>175</v>
      </c>
      <c r="B177" s="89">
        <v>74.299480709999997</v>
      </c>
      <c r="C177" s="89">
        <v>77.298993969999998</v>
      </c>
      <c r="D177" s="89">
        <v>80.298726389999999</v>
      </c>
      <c r="E177" s="89">
        <v>83.70009804</v>
      </c>
      <c r="F177" s="89">
        <v>87.147183929999997</v>
      </c>
      <c r="G177" s="89">
        <v>90.582419849999994</v>
      </c>
      <c r="H177" s="89">
        <v>95.798086620000007</v>
      </c>
      <c r="I177" s="89">
        <v>102.58750360000001</v>
      </c>
      <c r="J177" s="66"/>
      <c r="K177" s="66"/>
      <c r="L177" s="66"/>
      <c r="M177" s="66"/>
      <c r="N177" s="66"/>
      <c r="O177" s="66"/>
      <c r="P177" s="66"/>
      <c r="Q177" s="66"/>
      <c r="R177" s="66"/>
      <c r="X177" s="66"/>
      <c r="Y177" s="66"/>
      <c r="Z177" s="66"/>
      <c r="AA177" s="102"/>
      <c r="AB177" s="102"/>
      <c r="AC177" s="102"/>
      <c r="AD177" s="102"/>
      <c r="AE177" s="102"/>
      <c r="AF177" s="102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</row>
    <row r="178" spans="1:43" ht="17.25" thickTop="1">
      <c r="A178" s="90" t="s">
        <v>10</v>
      </c>
      <c r="B178" s="91">
        <v>101</v>
      </c>
      <c r="C178" s="91">
        <v>100</v>
      </c>
      <c r="D178" s="91">
        <v>99</v>
      </c>
      <c r="E178" s="91">
        <v>98</v>
      </c>
      <c r="F178" s="91">
        <v>97</v>
      </c>
      <c r="G178" s="91">
        <v>96</v>
      </c>
      <c r="H178" s="91">
        <v>95</v>
      </c>
      <c r="I178" s="92">
        <v>94</v>
      </c>
      <c r="J178" s="66"/>
      <c r="K178" s="66"/>
      <c r="L178" s="66"/>
      <c r="M178" s="66"/>
      <c r="N178" s="66"/>
      <c r="O178" s="66"/>
      <c r="P178" s="66"/>
      <c r="Q178" s="66"/>
      <c r="R178" s="66"/>
      <c r="X178" s="66"/>
      <c r="Y178" s="66"/>
      <c r="Z178" s="66"/>
      <c r="AA178" s="102"/>
      <c r="AB178" s="102"/>
      <c r="AC178" s="102"/>
      <c r="AD178" s="102"/>
      <c r="AE178" s="102"/>
      <c r="AF178" s="102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</row>
    <row r="179" spans="1:43">
      <c r="A179" s="93" t="s">
        <v>179</v>
      </c>
      <c r="B179" s="72">
        <v>2358785</v>
      </c>
      <c r="C179" s="72">
        <v>2020773</v>
      </c>
      <c r="D179" s="72">
        <v>1888476</v>
      </c>
      <c r="E179" s="72">
        <v>1683263</v>
      </c>
      <c r="F179" s="72">
        <v>1781126</v>
      </c>
      <c r="G179" s="72">
        <v>1928688</v>
      </c>
      <c r="H179" s="72">
        <v>1753406</v>
      </c>
      <c r="I179" s="94">
        <v>1580000</v>
      </c>
      <c r="J179" s="66"/>
      <c r="K179" s="66"/>
      <c r="L179" s="66"/>
      <c r="M179" s="66"/>
      <c r="N179" s="66"/>
      <c r="O179" s="66"/>
      <c r="P179" s="66"/>
      <c r="Q179" s="66"/>
      <c r="R179" s="66"/>
      <c r="X179" s="66"/>
      <c r="Y179" s="66"/>
      <c r="Z179" s="66"/>
      <c r="AA179" s="102"/>
      <c r="AB179" s="102"/>
      <c r="AC179" s="102"/>
      <c r="AD179" s="102"/>
      <c r="AE179" s="102"/>
      <c r="AF179" s="102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</row>
    <row r="180" spans="1:43">
      <c r="A180" s="95" t="s">
        <v>181</v>
      </c>
      <c r="B180" s="71">
        <v>1925575</v>
      </c>
      <c r="C180" s="71">
        <v>1640368</v>
      </c>
      <c r="D180" s="71">
        <v>1481518</v>
      </c>
      <c r="E180" s="71">
        <v>1014761</v>
      </c>
      <c r="F180" s="71">
        <v>953214</v>
      </c>
      <c r="G180" s="71">
        <v>1545776</v>
      </c>
      <c r="H180" s="71">
        <v>1366041</v>
      </c>
      <c r="I180" s="96">
        <v>1088188</v>
      </c>
      <c r="J180" s="66"/>
      <c r="K180" s="66"/>
      <c r="L180" s="66"/>
      <c r="M180" s="66"/>
      <c r="N180" s="66"/>
      <c r="O180" s="66"/>
      <c r="P180" s="66"/>
      <c r="Q180" s="66"/>
      <c r="R180" s="66"/>
      <c r="X180" s="66"/>
      <c r="Y180" s="66"/>
      <c r="Z180" s="66"/>
      <c r="AA180" s="102"/>
      <c r="AB180" s="102"/>
      <c r="AC180" s="102"/>
      <c r="AD180" s="102"/>
      <c r="AE180" s="102"/>
      <c r="AF180" s="102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</row>
    <row r="181" spans="1:43">
      <c r="A181" s="137" t="s">
        <v>183</v>
      </c>
      <c r="B181" s="75">
        <v>18</v>
      </c>
      <c r="C181" s="75">
        <v>14</v>
      </c>
      <c r="D181" s="75">
        <v>24</v>
      </c>
      <c r="E181" s="75">
        <v>24</v>
      </c>
      <c r="F181" s="75">
        <v>17</v>
      </c>
      <c r="G181" s="75">
        <v>17</v>
      </c>
      <c r="H181" s="75">
        <v>21</v>
      </c>
      <c r="I181" s="97">
        <v>19</v>
      </c>
      <c r="J181" s="66"/>
      <c r="K181" s="66"/>
      <c r="L181" s="66"/>
      <c r="M181" s="66"/>
      <c r="N181" s="66"/>
      <c r="O181" s="66"/>
      <c r="P181" s="66"/>
      <c r="Q181" s="66"/>
      <c r="R181" s="66"/>
      <c r="X181" s="66"/>
      <c r="Y181" s="66"/>
      <c r="Z181" s="66"/>
      <c r="AA181" s="102"/>
      <c r="AB181" s="102"/>
      <c r="AC181" s="102"/>
      <c r="AD181" s="102"/>
      <c r="AE181" s="102"/>
      <c r="AF181" s="102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</row>
    <row r="182" spans="1:43" ht="17.25" thickBot="1">
      <c r="A182" s="138" t="s">
        <v>185</v>
      </c>
      <c r="B182" s="99">
        <v>14</v>
      </c>
      <c r="C182" s="99">
        <v>10</v>
      </c>
      <c r="D182" s="99">
        <v>11</v>
      </c>
      <c r="E182" s="99">
        <v>8</v>
      </c>
      <c r="F182" s="99">
        <v>8</v>
      </c>
      <c r="G182" s="99">
        <v>12</v>
      </c>
      <c r="H182" s="99">
        <v>12</v>
      </c>
      <c r="I182" s="100">
        <v>13</v>
      </c>
      <c r="J182" s="66"/>
      <c r="K182" s="66"/>
      <c r="L182" s="66"/>
      <c r="M182" s="66"/>
      <c r="N182" s="66"/>
      <c r="O182" s="66"/>
      <c r="P182" s="66"/>
      <c r="Q182" s="66"/>
      <c r="R182" s="66"/>
      <c r="X182" s="66"/>
      <c r="Y182" s="66"/>
      <c r="Z182" s="66"/>
      <c r="AA182" s="102"/>
      <c r="AB182" s="102"/>
      <c r="AC182" s="102"/>
      <c r="AD182" s="102"/>
      <c r="AE182" s="102"/>
      <c r="AF182" s="102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</row>
    <row r="183" spans="1:43" ht="17.25" thickTop="1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</row>
    <row r="184" spans="1:43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</row>
    <row r="185" spans="1:43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</row>
    <row r="186" spans="1:43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</row>
    <row r="187" spans="1:43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</row>
    <row r="188" spans="1:43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</row>
    <row r="189" spans="1:43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</row>
    <row r="190" spans="1:43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</row>
    <row r="191" spans="1:43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</row>
    <row r="192" spans="1:43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</row>
    <row r="193" spans="1:18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</row>
    <row r="194" spans="1:18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</row>
    <row r="195" spans="1:18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</row>
    <row r="196" spans="1:18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</row>
    <row r="197" spans="1:18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</row>
    <row r="198" spans="1:18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</row>
    <row r="199" spans="1:18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</row>
    <row r="200" spans="1:18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</row>
    <row r="201" spans="1:18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</row>
    <row r="202" spans="1:18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</row>
    <row r="203" spans="1:18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</row>
    <row r="204" spans="1:18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</row>
    <row r="205" spans="1:18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</row>
    <row r="206" spans="1:18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</row>
    <row r="207" spans="1:18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</row>
    <row r="208" spans="1:18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</row>
    <row r="209" spans="1:18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</row>
    <row r="210" spans="1:18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</row>
    <row r="211" spans="1:18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</row>
    <row r="212" spans="1:18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</row>
    <row r="213" spans="1:18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</row>
    <row r="214" spans="1:18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</row>
    <row r="215" spans="1:18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</row>
    <row r="216" spans="1:18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</row>
    <row r="217" spans="1:18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</row>
    <row r="218" spans="1:18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</row>
    <row r="219" spans="1:18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</row>
    <row r="220" spans="1:18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</row>
    <row r="221" spans="1:18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</row>
    <row r="222" spans="1:18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</row>
    <row r="223" spans="1:18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</row>
    <row r="224" spans="1:18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</row>
    <row r="225" spans="1:18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</row>
    <row r="226" spans="1:18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</row>
    <row r="227" spans="1:18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</row>
    <row r="228" spans="1:18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</row>
    <row r="229" spans="1:18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</row>
    <row r="230" spans="1:18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</row>
    <row r="231" spans="1:18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</row>
    <row r="232" spans="1:18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</row>
    <row r="233" spans="1:18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</row>
    <row r="234" spans="1:18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</row>
    <row r="235" spans="1:18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</row>
    <row r="236" spans="1:18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</row>
    <row r="237" spans="1:18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</row>
    <row r="238" spans="1:18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</row>
    <row r="239" spans="1:18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</row>
    <row r="240" spans="1:18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</row>
    <row r="241" spans="1:18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</row>
    <row r="242" spans="1:18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</row>
    <row r="243" spans="1:18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</row>
    <row r="244" spans="1:18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</row>
    <row r="245" spans="1:18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</row>
    <row r="246" spans="1:18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</row>
    <row r="247" spans="1:18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</row>
    <row r="248" spans="1:18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</row>
    <row r="249" spans="1:18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</row>
    <row r="250" spans="1:18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</row>
    <row r="251" spans="1:18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</row>
    <row r="252" spans="1:18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</row>
    <row r="253" spans="1:18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</row>
    <row r="254" spans="1:18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</row>
    <row r="255" spans="1:18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</row>
    <row r="256" spans="1:18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</row>
    <row r="257" spans="1:18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</row>
    <row r="258" spans="1:18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</row>
    <row r="259" spans="1:18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</row>
    <row r="260" spans="1:18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</row>
    <row r="261" spans="1:18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</row>
    <row r="262" spans="1:18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</row>
    <row r="263" spans="1:18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</row>
    <row r="264" spans="1:18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</row>
    <row r="265" spans="1:18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</row>
    <row r="266" spans="1:18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</row>
    <row r="267" spans="1:18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</row>
    <row r="268" spans="1:18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</row>
    <row r="269" spans="1:18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</row>
    <row r="270" spans="1:18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</row>
    <row r="271" spans="1:18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</row>
    <row r="272" spans="1:18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</row>
    <row r="273" spans="1:18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</row>
    <row r="274" spans="1:18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</row>
    <row r="275" spans="1:18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</row>
    <row r="276" spans="1:18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</row>
    <row r="277" spans="1:18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</row>
    <row r="278" spans="1:18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</row>
    <row r="279" spans="1:18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</row>
    <row r="280" spans="1:18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</row>
    <row r="281" spans="1:18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</row>
    <row r="282" spans="1:18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</row>
    <row r="283" spans="1:18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</row>
    <row r="284" spans="1:18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</row>
    <row r="285" spans="1:18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</row>
    <row r="286" spans="1:18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</row>
    <row r="287" spans="1:18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</row>
    <row r="288" spans="1:18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</row>
    <row r="289" spans="1:18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</row>
    <row r="290" spans="1:18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</row>
    <row r="291" spans="1:18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</row>
    <row r="292" spans="1:18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</row>
    <row r="293" spans="1:18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</row>
    <row r="294" spans="1:18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</row>
    <row r="295" spans="1:18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</row>
    <row r="296" spans="1:18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</row>
    <row r="297" spans="1:18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</row>
    <row r="298" spans="1:18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</row>
    <row r="299" spans="1:18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</row>
    <row r="300" spans="1:18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</row>
    <row r="301" spans="1:18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</row>
    <row r="302" spans="1:18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</row>
    <row r="303" spans="1:18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</row>
    <row r="304" spans="1:18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</row>
    <row r="305" spans="1:18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</row>
    <row r="306" spans="1:18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</row>
    <row r="307" spans="1:18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</row>
    <row r="308" spans="1:18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</row>
    <row r="309" spans="1:18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</row>
    <row r="310" spans="1:18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</row>
    <row r="311" spans="1:18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</row>
    <row r="312" spans="1:18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</row>
    <row r="313" spans="1:18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</row>
    <row r="314" spans="1:18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</row>
    <row r="315" spans="1:18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</row>
    <row r="316" spans="1:18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</row>
    <row r="317" spans="1:18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</row>
    <row r="318" spans="1:18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</row>
    <row r="319" spans="1:18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</row>
    <row r="320" spans="1:18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</row>
    <row r="321" spans="1:18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</row>
    <row r="322" spans="1:18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</row>
    <row r="323" spans="1:18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</row>
    <row r="324" spans="1:18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</row>
    <row r="325" spans="1:18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</row>
    <row r="326" spans="1:18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</row>
  </sheetData>
  <mergeCells count="4">
    <mergeCell ref="A1:B1"/>
    <mergeCell ref="C2:D2"/>
    <mergeCell ref="T19:U19"/>
    <mergeCell ref="V19:W19"/>
  </mergeCells>
  <phoneticPr fontId="2" type="noConversion"/>
  <conditionalFormatting sqref="W26 I8 B4:I4">
    <cfRule type="cellIs" dxfId="17" priority="15" operator="between">
      <formula>0</formula>
      <formula>9.9999</formula>
    </cfRule>
    <cfRule type="cellIs" dxfId="16" priority="16" operator="between">
      <formula>10</formula>
      <formula>14.9999</formula>
    </cfRule>
    <cfRule type="cellIs" dxfId="15" priority="17" operator="greaterThanOrEqual">
      <formula>15</formula>
    </cfRule>
    <cfRule type="cellIs" dxfId="14" priority="18" operator="lessThanOrEqual">
      <formula>-0.0001</formula>
    </cfRule>
  </conditionalFormatting>
  <conditionalFormatting sqref="W27 B8:I8">
    <cfRule type="cellIs" dxfId="13" priority="12" operator="between">
      <formula>0.4</formula>
      <formula>0.599999</formula>
    </cfRule>
    <cfRule type="cellIs" dxfId="12" priority="13" operator="lessThanOrEqual">
      <formula>0.3999999</formula>
    </cfRule>
    <cfRule type="cellIs" dxfId="11" priority="14" operator="greaterThanOrEqual">
      <formula>0.6</formula>
    </cfRule>
  </conditionalFormatting>
  <conditionalFormatting sqref="K4:R4">
    <cfRule type="cellIs" dxfId="10" priority="8" operator="lessThanOrEqual">
      <formula>-0.0001</formula>
    </cfRule>
    <cfRule type="cellIs" dxfId="9" priority="9" operator="greaterThanOrEqual">
      <formula>3.5</formula>
    </cfRule>
    <cfRule type="cellIs" dxfId="8" priority="10" operator="between">
      <formula>2.5</formula>
      <formula>3.4999</formula>
    </cfRule>
    <cfRule type="cellIs" dxfId="7" priority="11" operator="between">
      <formula>0</formula>
      <formula>2.4999</formula>
    </cfRule>
  </conditionalFormatting>
  <conditionalFormatting sqref="B99:I102 B107:I107 B110:I120 K107:R107 K110:R120 K99:R102">
    <cfRule type="cellIs" dxfId="6" priority="7" operator="lessThan">
      <formula>0</formula>
    </cfRule>
  </conditionalFormatting>
  <conditionalFormatting sqref="B9:I9">
    <cfRule type="cellIs" dxfId="5" priority="2" operator="lessThan">
      <formula>0</formula>
    </cfRule>
    <cfRule type="cellIs" dxfId="4" priority="3" operator="greaterThanOrEqual">
      <formula>2</formula>
    </cfRule>
    <cfRule type="cellIs" dxfId="3" priority="4" operator="between">
      <formula>0.8</formula>
      <formula>1.9999</formula>
    </cfRule>
    <cfRule type="cellIs" dxfId="2" priority="5" operator="between">
      <formula>0.4001</formula>
      <formula>0.7999</formula>
    </cfRule>
    <cfRule type="cellIs" dxfId="1" priority="6" operator="lessThanOrEqual">
      <formula>0.4</formula>
    </cfRule>
  </conditionalFormatting>
  <conditionalFormatting sqref="T31:U34 T29:W29 T28 T30 W22 T21:W21 T23:W23 T25:W27">
    <cfRule type="cellIs" dxfId="0" priority="1" operator="lessThan">
      <formula>-0.0001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code!$A$2:$A$5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4"/>
  <sheetViews>
    <sheetView workbookViewId="0">
      <selection activeCell="K44" sqref="K44"/>
    </sheetView>
  </sheetViews>
  <sheetFormatPr defaultRowHeight="16.5"/>
  <cols>
    <col min="1" max="1" width="14.25" bestFit="1" customWidth="1"/>
  </cols>
  <sheetData>
    <row r="1" spans="1:9">
      <c r="A1" s="57" t="s">
        <v>226</v>
      </c>
    </row>
    <row r="2" spans="1:9">
      <c r="A2" s="5" t="s">
        <v>2</v>
      </c>
      <c r="B2" s="5">
        <v>109</v>
      </c>
      <c r="C2" s="5">
        <v>108</v>
      </c>
      <c r="D2" s="5">
        <v>107</v>
      </c>
      <c r="E2" s="5">
        <v>106</v>
      </c>
      <c r="F2" s="5">
        <v>105</v>
      </c>
      <c r="G2" s="5">
        <v>104</v>
      </c>
      <c r="H2" s="5">
        <v>103</v>
      </c>
      <c r="I2" s="5">
        <v>102</v>
      </c>
    </row>
    <row r="3" spans="1:9">
      <c r="A3" s="7" t="s">
        <v>269</v>
      </c>
    </row>
    <row r="4" spans="1:9">
      <c r="A4" s="10" t="s">
        <v>348</v>
      </c>
    </row>
    <row r="5" spans="1:9">
      <c r="A5" s="7" t="s">
        <v>349</v>
      </c>
    </row>
    <row r="6" spans="1:9">
      <c r="A6" s="10" t="s">
        <v>350</v>
      </c>
    </row>
    <row r="7" spans="1:9">
      <c r="A7" s="7" t="s">
        <v>351</v>
      </c>
    </row>
    <row r="8" spans="1:9">
      <c r="A8" s="10" t="s">
        <v>359</v>
      </c>
    </row>
    <row r="9" spans="1:9">
      <c r="A9" s="7" t="s">
        <v>360</v>
      </c>
    </row>
    <row r="10" spans="1:9">
      <c r="A10" s="10" t="s">
        <v>355</v>
      </c>
    </row>
    <row r="11" spans="1:9">
      <c r="A11" s="7" t="s">
        <v>356</v>
      </c>
    </row>
    <row r="12" spans="1:9">
      <c r="A12" s="10" t="s">
        <v>357</v>
      </c>
    </row>
    <row r="13" spans="1:9">
      <c r="A13" s="7" t="s">
        <v>358</v>
      </c>
    </row>
    <row r="17" spans="2:16">
      <c r="B17" s="74"/>
      <c r="C17" s="74"/>
      <c r="D17" s="74"/>
      <c r="E17" s="74"/>
      <c r="F17" s="74"/>
      <c r="G17" s="74"/>
      <c r="H17" s="74"/>
      <c r="I17" s="74"/>
      <c r="J17" s="74"/>
    </row>
    <row r="18" spans="2:16">
      <c r="B18" s="74"/>
      <c r="C18" s="74"/>
      <c r="D18" s="74"/>
      <c r="E18" s="74"/>
      <c r="F18" s="74"/>
      <c r="G18" s="74"/>
      <c r="H18" s="74"/>
      <c r="I18" s="74"/>
      <c r="J18" s="74"/>
    </row>
    <row r="19" spans="2:16"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</row>
    <row r="20" spans="2:16"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</row>
    <row r="21" spans="2:16"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</row>
    <row r="22" spans="2:16"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</row>
    <row r="23" spans="2:16"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</row>
    <row r="24" spans="2:16"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</row>
    <row r="25" spans="2:16"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</row>
    <row r="26" spans="2:16"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</row>
    <row r="27" spans="2:16"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</row>
    <row r="28" spans="2:16"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</row>
    <row r="29" spans="2:16"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</row>
    <row r="30" spans="2:16"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</row>
    <row r="31" spans="2:16"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</row>
    <row r="32" spans="2:16"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</row>
    <row r="33" spans="3:16"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</row>
    <row r="34" spans="3:16"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</row>
    <row r="35" spans="3:16"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</row>
    <row r="36" spans="3:16"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</row>
    <row r="37" spans="3:16"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</row>
    <row r="38" spans="3:16"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</row>
    <row r="39" spans="3:16"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</row>
    <row r="40" spans="3:16"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</row>
    <row r="41" spans="3:16"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</row>
    <row r="42" spans="3:16"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</row>
    <row r="43" spans="3:16"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</row>
    <row r="44" spans="3:16"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42"/>
  <sheetViews>
    <sheetView workbookViewId="0">
      <selection activeCell="P14" sqref="P14"/>
    </sheetView>
  </sheetViews>
  <sheetFormatPr defaultRowHeight="16.5"/>
  <cols>
    <col min="3" max="3" width="11" bestFit="1" customWidth="1"/>
    <col min="4" max="4" width="23.5" bestFit="1" customWidth="1"/>
    <col min="5" max="5" width="33.875" bestFit="1" customWidth="1"/>
    <col min="6" max="6" width="42.125" bestFit="1" customWidth="1"/>
    <col min="7" max="7" width="31.75" bestFit="1" customWidth="1"/>
    <col min="8" max="8" width="19.25" bestFit="1" customWidth="1"/>
    <col min="9" max="9" width="21.375" bestFit="1" customWidth="1"/>
    <col min="10" max="10" width="15.125" bestFit="1" customWidth="1"/>
    <col min="11" max="11" width="11" bestFit="1" customWidth="1"/>
    <col min="13" max="13" width="9.5" bestFit="1" customWidth="1"/>
    <col min="14" max="14" width="15.5" customWidth="1"/>
    <col min="15" max="15" width="15.375" customWidth="1"/>
    <col min="16" max="16" width="23.5" bestFit="1" customWidth="1"/>
    <col min="17" max="17" width="13" bestFit="1" customWidth="1"/>
    <col min="18" max="19" width="11" bestFit="1" customWidth="1"/>
    <col min="20" max="20" width="13" bestFit="1" customWidth="1"/>
    <col min="21" max="21" width="11" bestFit="1" customWidth="1"/>
    <col min="25" max="25" width="13.375" bestFit="1" customWidth="1"/>
    <col min="26" max="26" width="19.25" bestFit="1" customWidth="1"/>
    <col min="27" max="27" width="15.125" bestFit="1" customWidth="1"/>
    <col min="43" max="43" width="10.5" bestFit="1" customWidth="1"/>
    <col min="44" max="44" width="13.375" bestFit="1" customWidth="1"/>
    <col min="45" max="45" width="11.625" bestFit="1" customWidth="1"/>
    <col min="46" max="47" width="10.5" bestFit="1" customWidth="1"/>
    <col min="51" max="51" width="21" customWidth="1"/>
    <col min="52" max="52" width="11" bestFit="1" customWidth="1"/>
    <col min="53" max="53" width="11.625" bestFit="1" customWidth="1"/>
    <col min="55" max="55" width="48.375" bestFit="1" customWidth="1"/>
    <col min="56" max="56" width="52.625" bestFit="1" customWidth="1"/>
    <col min="57" max="57" width="13" bestFit="1" customWidth="1"/>
  </cols>
  <sheetData>
    <row r="1" spans="1:57" ht="57.75" customHeight="1">
      <c r="A1" s="114" t="s">
        <v>289</v>
      </c>
      <c r="B1" s="169" t="s">
        <v>270</v>
      </c>
      <c r="C1" s="169" t="s">
        <v>271</v>
      </c>
      <c r="D1" s="169" t="s">
        <v>272</v>
      </c>
      <c r="E1" s="169" t="s">
        <v>273</v>
      </c>
      <c r="F1" s="169" t="s">
        <v>274</v>
      </c>
      <c r="G1" s="169" t="s">
        <v>275</v>
      </c>
      <c r="H1" s="169" t="s">
        <v>24</v>
      </c>
      <c r="I1" s="169" t="s">
        <v>276</v>
      </c>
      <c r="J1" s="169" t="s">
        <v>277</v>
      </c>
      <c r="K1" s="169" t="s">
        <v>278</v>
      </c>
      <c r="L1" s="169" t="s">
        <v>279</v>
      </c>
      <c r="M1" s="169" t="s">
        <v>280</v>
      </c>
      <c r="N1" s="171" t="s">
        <v>347</v>
      </c>
      <c r="O1" s="171" t="s">
        <v>346</v>
      </c>
      <c r="P1" s="171" t="s">
        <v>345</v>
      </c>
      <c r="Q1" s="169" t="s">
        <v>281</v>
      </c>
      <c r="R1" s="169" t="s">
        <v>282</v>
      </c>
      <c r="S1" s="169" t="s">
        <v>283</v>
      </c>
      <c r="T1" s="169" t="s">
        <v>284</v>
      </c>
      <c r="U1" s="169" t="s">
        <v>285</v>
      </c>
      <c r="V1" s="169" t="s">
        <v>286</v>
      </c>
    </row>
    <row r="2" spans="1:57" ht="17.25" thickBot="1">
      <c r="A2" s="115" t="s">
        <v>207</v>
      </c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</row>
    <row r="3" spans="1:57" s="74" customFormat="1" ht="17.25" thickBot="1">
      <c r="A3" s="111">
        <v>2880</v>
      </c>
      <c r="B3" s="111" t="s">
        <v>287</v>
      </c>
      <c r="C3" s="112">
        <v>18193746</v>
      </c>
      <c r="D3" s="112">
        <v>10442786</v>
      </c>
      <c r="E3" s="112">
        <v>28636532</v>
      </c>
      <c r="F3" s="112">
        <v>2209372</v>
      </c>
      <c r="G3" s="112">
        <v>744543</v>
      </c>
      <c r="H3" s="112">
        <v>18813463</v>
      </c>
      <c r="I3" s="112">
        <v>6869154</v>
      </c>
      <c r="J3" s="112">
        <v>1940380</v>
      </c>
      <c r="K3" s="159">
        <v>4928774</v>
      </c>
      <c r="L3" s="113" t="s">
        <v>288</v>
      </c>
      <c r="M3" s="112">
        <v>4928774</v>
      </c>
      <c r="N3" s="112">
        <v>-1768964</v>
      </c>
      <c r="O3" s="112">
        <v>3159810</v>
      </c>
      <c r="P3" s="112">
        <v>4928664</v>
      </c>
      <c r="Q3" s="113" t="s">
        <v>288</v>
      </c>
      <c r="R3" s="113">
        <v>110</v>
      </c>
      <c r="S3" s="112">
        <v>3159671</v>
      </c>
      <c r="T3" s="113" t="s">
        <v>288</v>
      </c>
      <c r="U3" s="113">
        <v>139</v>
      </c>
      <c r="V3" s="113">
        <v>0.38</v>
      </c>
    </row>
    <row r="4" spans="1:57" s="74" customFormat="1" ht="17.25" thickBot="1">
      <c r="C4" s="117"/>
      <c r="D4" s="117"/>
      <c r="E4" s="117"/>
      <c r="F4" s="119"/>
      <c r="G4" s="119"/>
      <c r="H4" s="119"/>
      <c r="I4" s="117"/>
      <c r="J4" s="117"/>
      <c r="K4" s="117"/>
      <c r="L4" s="117"/>
      <c r="M4" s="117"/>
      <c r="N4" s="117"/>
      <c r="O4" s="122"/>
    </row>
    <row r="5" spans="1:57" ht="17.25" thickBot="1">
      <c r="A5" s="111">
        <v>2880</v>
      </c>
      <c r="B5" s="111" t="s">
        <v>287</v>
      </c>
      <c r="C5" s="118">
        <v>24642539</v>
      </c>
      <c r="D5" s="118">
        <v>15321985</v>
      </c>
      <c r="E5" s="112">
        <v>39964524</v>
      </c>
      <c r="F5" s="121">
        <v>2061723</v>
      </c>
      <c r="G5" s="121">
        <v>911675</v>
      </c>
      <c r="H5" s="121">
        <v>25801321</v>
      </c>
      <c r="I5" s="112">
        <v>11189805</v>
      </c>
      <c r="J5" s="121">
        <v>2536322</v>
      </c>
      <c r="K5" s="159">
        <v>8653483</v>
      </c>
      <c r="L5" s="113" t="s">
        <v>288</v>
      </c>
      <c r="M5" s="112">
        <v>8653483</v>
      </c>
      <c r="N5" s="121">
        <v>-1129275</v>
      </c>
      <c r="O5" s="112">
        <v>7524208</v>
      </c>
      <c r="P5" s="112">
        <v>8653353</v>
      </c>
      <c r="Q5" s="113" t="s">
        <v>288</v>
      </c>
      <c r="R5" s="113">
        <v>130</v>
      </c>
      <c r="S5" s="112">
        <v>7524039</v>
      </c>
      <c r="T5" s="113" t="s">
        <v>288</v>
      </c>
      <c r="U5" s="113">
        <v>169</v>
      </c>
      <c r="V5" s="113">
        <v>0.67</v>
      </c>
    </row>
    <row r="6" spans="1:57">
      <c r="E6" s="116">
        <f>C5+D5</f>
        <v>39964524</v>
      </c>
      <c r="I6" s="116">
        <f>E6-F5-G5-H5</f>
        <v>11189805</v>
      </c>
      <c r="K6" s="116">
        <f>I5-J5</f>
        <v>8653483</v>
      </c>
      <c r="O6" s="116">
        <f>M5+N5</f>
        <v>7524208</v>
      </c>
    </row>
    <row r="7" spans="1:57" ht="17.25" thickBot="1">
      <c r="A7" s="74"/>
      <c r="B7" s="74"/>
      <c r="C7" s="119"/>
      <c r="D7" s="119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22">
        <f>C5+D5-F5-G5-H5-J5+N5</f>
        <v>7524208</v>
      </c>
      <c r="P7" s="74"/>
      <c r="Q7" s="74"/>
      <c r="R7" s="74"/>
    </row>
    <row r="8" spans="1:57" ht="17.25" thickBot="1">
      <c r="C8" s="117"/>
      <c r="D8" s="117"/>
      <c r="E8" s="117"/>
      <c r="F8" s="119"/>
      <c r="G8" s="119"/>
      <c r="H8" s="119"/>
      <c r="I8" s="117"/>
      <c r="J8" s="117"/>
      <c r="K8" s="117"/>
      <c r="L8" s="117"/>
      <c r="M8" s="117"/>
      <c r="N8" s="117"/>
      <c r="P8" s="125" t="s">
        <v>343</v>
      </c>
    </row>
    <row r="9" spans="1:57"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27"/>
      <c r="P9" s="126">
        <f>K5-K3</f>
        <v>3724709</v>
      </c>
    </row>
    <row r="10" spans="1:57" ht="17.25" thickBot="1">
      <c r="C10" s="117"/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</row>
    <row r="11" spans="1:57" ht="17.25" thickBot="1">
      <c r="A11" s="110" t="s">
        <v>207</v>
      </c>
      <c r="B11" s="110" t="s">
        <v>270</v>
      </c>
      <c r="C11" s="123" t="s">
        <v>290</v>
      </c>
      <c r="D11" s="123" t="s">
        <v>291</v>
      </c>
      <c r="E11" s="123" t="s">
        <v>292</v>
      </c>
      <c r="F11" s="123" t="s">
        <v>293</v>
      </c>
      <c r="G11" s="123" t="s">
        <v>294</v>
      </c>
      <c r="H11" s="123" t="s">
        <v>295</v>
      </c>
      <c r="I11" s="123" t="s">
        <v>296</v>
      </c>
      <c r="J11" s="123" t="s">
        <v>297</v>
      </c>
      <c r="K11" s="123" t="s">
        <v>298</v>
      </c>
      <c r="L11" s="123" t="s">
        <v>299</v>
      </c>
      <c r="M11" s="123"/>
      <c r="N11" s="123" t="s">
        <v>300</v>
      </c>
      <c r="O11" s="123" t="s">
        <v>301</v>
      </c>
      <c r="P11" s="123" t="s">
        <v>302</v>
      </c>
      <c r="Q11" s="123" t="s">
        <v>303</v>
      </c>
      <c r="R11" s="123" t="s">
        <v>304</v>
      </c>
      <c r="S11" s="123" t="s">
        <v>305</v>
      </c>
      <c r="T11" s="123" t="s">
        <v>306</v>
      </c>
      <c r="U11" s="123" t="s">
        <v>307</v>
      </c>
      <c r="V11" s="123" t="s">
        <v>308</v>
      </c>
      <c r="W11" s="123" t="s">
        <v>309</v>
      </c>
      <c r="X11" s="123" t="s">
        <v>310</v>
      </c>
      <c r="Y11" s="123" t="s">
        <v>104</v>
      </c>
      <c r="Z11" s="123" t="s">
        <v>311</v>
      </c>
      <c r="AA11" s="123" t="s">
        <v>312</v>
      </c>
      <c r="AB11" s="123" t="s">
        <v>313</v>
      </c>
      <c r="AC11" s="123" t="s">
        <v>314</v>
      </c>
      <c r="AD11" s="123" t="s">
        <v>315</v>
      </c>
      <c r="AE11" s="123" t="s">
        <v>316</v>
      </c>
      <c r="AF11" s="123" t="s">
        <v>317</v>
      </c>
      <c r="AG11" s="123" t="s">
        <v>318</v>
      </c>
      <c r="AH11" s="123" t="s">
        <v>319</v>
      </c>
      <c r="AI11" s="123" t="s">
        <v>320</v>
      </c>
      <c r="AJ11" s="123" t="s">
        <v>321</v>
      </c>
      <c r="AK11" s="123" t="s">
        <v>322</v>
      </c>
      <c r="AL11" s="123" t="s">
        <v>323</v>
      </c>
      <c r="AM11" s="123" t="s">
        <v>324</v>
      </c>
      <c r="AN11" s="123" t="s">
        <v>325</v>
      </c>
      <c r="AO11" s="123" t="s">
        <v>326</v>
      </c>
      <c r="AP11" s="123" t="s">
        <v>327</v>
      </c>
      <c r="AQ11" s="123" t="s">
        <v>328</v>
      </c>
      <c r="AR11" s="123" t="s">
        <v>123</v>
      </c>
      <c r="AS11" s="123" t="s">
        <v>329</v>
      </c>
      <c r="AT11" s="123" t="s">
        <v>330</v>
      </c>
      <c r="AU11" s="123" t="s">
        <v>331</v>
      </c>
      <c r="AV11" s="123" t="s">
        <v>332</v>
      </c>
      <c r="AW11" s="123" t="s">
        <v>333</v>
      </c>
      <c r="AX11" s="123" t="s">
        <v>334</v>
      </c>
      <c r="AY11" s="123" t="s">
        <v>335</v>
      </c>
      <c r="AZ11" s="123" t="s">
        <v>336</v>
      </c>
      <c r="BA11" s="123" t="s">
        <v>337</v>
      </c>
      <c r="BB11" s="123" t="s">
        <v>338</v>
      </c>
      <c r="BC11" s="123" t="s">
        <v>339</v>
      </c>
      <c r="BD11" s="123" t="s">
        <v>340</v>
      </c>
      <c r="BE11" s="129" t="s">
        <v>353</v>
      </c>
    </row>
    <row r="12" spans="1:57" ht="17.25" thickBot="1">
      <c r="A12" s="111">
        <v>2880</v>
      </c>
      <c r="B12" s="111" t="s">
        <v>287</v>
      </c>
      <c r="C12" s="112">
        <v>35494112</v>
      </c>
      <c r="D12" s="112">
        <v>194730976</v>
      </c>
      <c r="E12" s="112">
        <v>50968983</v>
      </c>
      <c r="F12" s="112">
        <v>220111252</v>
      </c>
      <c r="G12" s="112">
        <v>537085845</v>
      </c>
      <c r="H12" s="113" t="s">
        <v>288</v>
      </c>
      <c r="I12" s="112">
        <v>499724</v>
      </c>
      <c r="J12" s="112">
        <v>44979380</v>
      </c>
      <c r="K12" s="112">
        <v>443212</v>
      </c>
      <c r="L12" s="113" t="s">
        <v>288</v>
      </c>
      <c r="M12" s="113" t="s">
        <v>288</v>
      </c>
      <c r="N12" s="112">
        <v>1762710933</v>
      </c>
      <c r="O12" s="112">
        <v>5254664</v>
      </c>
      <c r="P12" s="112">
        <v>169237</v>
      </c>
      <c r="Q12" s="113" t="s">
        <v>288</v>
      </c>
      <c r="R12" s="112">
        <v>33466371</v>
      </c>
      <c r="S12" s="112">
        <v>11404367</v>
      </c>
      <c r="T12" s="112">
        <v>31720693</v>
      </c>
      <c r="U12" s="112">
        <v>2028170</v>
      </c>
      <c r="V12" s="112">
        <v>934266</v>
      </c>
      <c r="W12" s="112">
        <v>3301060</v>
      </c>
      <c r="X12" s="112">
        <v>7187786</v>
      </c>
      <c r="Y12" s="112">
        <v>2942491031</v>
      </c>
      <c r="Z12" s="112">
        <v>130134998</v>
      </c>
      <c r="AA12" s="112">
        <v>12523250</v>
      </c>
      <c r="AB12" s="112">
        <v>4698314</v>
      </c>
      <c r="AC12" s="113" t="s">
        <v>288</v>
      </c>
      <c r="AD12" s="112">
        <v>28962342</v>
      </c>
      <c r="AE12" s="112">
        <v>19072868</v>
      </c>
      <c r="AF12" s="112">
        <v>47221769</v>
      </c>
      <c r="AG12" s="112">
        <v>2074889</v>
      </c>
      <c r="AH12" s="113" t="s">
        <v>288</v>
      </c>
      <c r="AI12" s="112">
        <v>2381274585</v>
      </c>
      <c r="AJ12" s="112">
        <v>63188404</v>
      </c>
      <c r="AK12" s="112">
        <v>1381580</v>
      </c>
      <c r="AL12" s="113" t="s">
        <v>288</v>
      </c>
      <c r="AM12" s="112">
        <v>22590411</v>
      </c>
      <c r="AN12" s="112">
        <v>24729260</v>
      </c>
      <c r="AO12" s="112">
        <v>1991288</v>
      </c>
      <c r="AP12" s="112">
        <v>6128071</v>
      </c>
      <c r="AQ12" s="112">
        <v>11479235</v>
      </c>
      <c r="AR12" s="112">
        <v>2757451264</v>
      </c>
      <c r="AS12" s="112">
        <v>128547788</v>
      </c>
      <c r="AT12" s="112">
        <v>17758986</v>
      </c>
      <c r="AU12" s="112">
        <v>30210662</v>
      </c>
      <c r="AV12" s="112">
        <v>8520358</v>
      </c>
      <c r="AW12" s="113" t="s">
        <v>288</v>
      </c>
      <c r="AX12" s="113" t="s">
        <v>288</v>
      </c>
      <c r="AY12" s="112">
        <v>185037794</v>
      </c>
      <c r="AZ12" s="112">
        <v>1973</v>
      </c>
      <c r="BA12" s="112">
        <v>185039767</v>
      </c>
      <c r="BB12" s="113" t="s">
        <v>288</v>
      </c>
      <c r="BC12" s="113">
        <v>0</v>
      </c>
      <c r="BD12" s="113">
        <v>0</v>
      </c>
      <c r="BE12" s="113">
        <v>14.39</v>
      </c>
    </row>
    <row r="13" spans="1:57">
      <c r="P13" s="117" t="s">
        <v>341</v>
      </c>
    </row>
    <row r="14" spans="1:57" s="74" customFormat="1" ht="17.25" thickBot="1">
      <c r="P14" s="116">
        <f>Y12-AR12</f>
        <v>185039767</v>
      </c>
    </row>
    <row r="15" spans="1:57" ht="17.25" thickBot="1">
      <c r="A15" s="111">
        <v>2880</v>
      </c>
      <c r="B15" s="111" t="s">
        <v>287</v>
      </c>
      <c r="C15" s="112">
        <v>37562976</v>
      </c>
      <c r="D15" s="112">
        <v>223421083</v>
      </c>
      <c r="E15" s="112">
        <v>50884829</v>
      </c>
      <c r="F15" s="112">
        <v>241125406</v>
      </c>
      <c r="G15" s="112">
        <v>613905747</v>
      </c>
      <c r="H15" s="113" t="s">
        <v>288</v>
      </c>
      <c r="I15" s="112">
        <v>959220</v>
      </c>
      <c r="J15" s="112">
        <v>51486371</v>
      </c>
      <c r="K15" s="112">
        <v>450435</v>
      </c>
      <c r="L15" s="113" t="s">
        <v>288</v>
      </c>
      <c r="M15" s="113" t="s">
        <v>288</v>
      </c>
      <c r="N15" s="112">
        <v>1784641366</v>
      </c>
      <c r="O15" s="112">
        <v>5648093</v>
      </c>
      <c r="P15" s="112">
        <v>179552</v>
      </c>
      <c r="Q15" s="113" t="s">
        <v>288</v>
      </c>
      <c r="R15" s="112">
        <v>35667659</v>
      </c>
      <c r="S15" s="112">
        <v>11411897</v>
      </c>
      <c r="T15" s="112">
        <v>31777373</v>
      </c>
      <c r="U15" s="112">
        <v>1987287</v>
      </c>
      <c r="V15" s="112">
        <v>933108</v>
      </c>
      <c r="W15" s="112">
        <v>3432040</v>
      </c>
      <c r="X15" s="112">
        <v>5607796</v>
      </c>
      <c r="Y15" s="118">
        <v>3101082238</v>
      </c>
      <c r="Z15" s="112">
        <v>120918211</v>
      </c>
      <c r="AA15" s="112">
        <v>19091190</v>
      </c>
      <c r="AB15" s="112">
        <v>7475164</v>
      </c>
      <c r="AC15" s="113" t="s">
        <v>288</v>
      </c>
      <c r="AD15" s="112">
        <v>41957804</v>
      </c>
      <c r="AE15" s="112">
        <v>15578122</v>
      </c>
      <c r="AF15" s="112">
        <v>40262838</v>
      </c>
      <c r="AG15" s="112">
        <v>2617347</v>
      </c>
      <c r="AH15" s="113" t="s">
        <v>288</v>
      </c>
      <c r="AI15" s="112">
        <v>2524483706</v>
      </c>
      <c r="AJ15" s="112">
        <v>60688999</v>
      </c>
      <c r="AK15" s="112">
        <v>1490500</v>
      </c>
      <c r="AL15" s="113" t="s">
        <v>288</v>
      </c>
      <c r="AM15" s="112">
        <v>23747147</v>
      </c>
      <c r="AN15" s="112">
        <v>39388701</v>
      </c>
      <c r="AO15" s="112">
        <v>1954177</v>
      </c>
      <c r="AP15" s="112">
        <v>6140434</v>
      </c>
      <c r="AQ15" s="112">
        <v>5883733</v>
      </c>
      <c r="AR15" s="118">
        <v>2911678073</v>
      </c>
      <c r="AS15" s="112">
        <v>128547788</v>
      </c>
      <c r="AT15" s="112">
        <v>17758986</v>
      </c>
      <c r="AU15" s="112">
        <v>33650292</v>
      </c>
      <c r="AV15" s="112">
        <v>9445096</v>
      </c>
      <c r="AW15" s="113" t="s">
        <v>288</v>
      </c>
      <c r="AX15" s="113" t="s">
        <v>288</v>
      </c>
      <c r="AY15" s="112">
        <v>189402162</v>
      </c>
      <c r="AZ15" s="112">
        <v>2003</v>
      </c>
      <c r="BA15" s="120">
        <v>189404165</v>
      </c>
      <c r="BB15" s="113" t="s">
        <v>288</v>
      </c>
      <c r="BC15" s="113">
        <v>0</v>
      </c>
      <c r="BD15" s="113">
        <v>0</v>
      </c>
      <c r="BE15" s="113">
        <v>14.73</v>
      </c>
    </row>
    <row r="16" spans="1:57"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P16" s="117" t="s">
        <v>341</v>
      </c>
      <c r="Q16" s="117"/>
    </row>
    <row r="17" spans="2:21" ht="17.25" thickBot="1"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P17" s="122">
        <f>Y15-AR15</f>
        <v>189404165</v>
      </c>
      <c r="Q17" s="117"/>
      <c r="R17" s="117"/>
      <c r="S17" s="117"/>
      <c r="T17" s="117"/>
      <c r="U17" s="117"/>
    </row>
    <row r="18" spans="2:21" ht="17.25" thickBot="1"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P18" s="125" t="s">
        <v>344</v>
      </c>
      <c r="Q18" s="117"/>
      <c r="R18" s="117"/>
      <c r="S18" s="117"/>
      <c r="T18" s="117"/>
      <c r="U18" s="117"/>
    </row>
    <row r="19" spans="2:21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P19" s="126">
        <f>AVERAGE(P14,P17)</f>
        <v>187221966</v>
      </c>
      <c r="Q19" s="117"/>
      <c r="R19" s="117"/>
      <c r="S19" s="117"/>
      <c r="T19" s="117"/>
      <c r="U19" s="117"/>
    </row>
    <row r="20" spans="2:21" ht="17.25" thickBot="1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P20" s="117"/>
      <c r="Q20" s="117"/>
      <c r="R20" s="117"/>
      <c r="S20" s="117"/>
      <c r="T20" s="117"/>
      <c r="U20" s="117"/>
    </row>
    <row r="21" spans="2:21" ht="17.25" thickBot="1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P21" s="125" t="s">
        <v>342</v>
      </c>
      <c r="Q21" s="117"/>
      <c r="R21" s="117"/>
      <c r="S21" s="117"/>
      <c r="T21" s="117"/>
      <c r="U21" s="117"/>
    </row>
    <row r="22" spans="2:21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P22" s="128">
        <f>P9/P19</f>
        <v>1.9894615357259948E-2</v>
      </c>
      <c r="Q22" s="117"/>
      <c r="R22" s="117"/>
      <c r="S22" s="117"/>
      <c r="T22" s="117"/>
      <c r="U22" s="117"/>
    </row>
    <row r="24" spans="2:21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P24" s="117"/>
      <c r="Q24" s="117"/>
      <c r="R24" s="117"/>
      <c r="S24" s="117"/>
      <c r="T24" s="117"/>
      <c r="U24" s="117"/>
    </row>
    <row r="25" spans="2:21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</row>
    <row r="26" spans="2:21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24"/>
      <c r="P26" s="117">
        <v>128547788</v>
      </c>
      <c r="Q26" s="117"/>
      <c r="R26" s="117"/>
      <c r="S26" s="117"/>
      <c r="T26" s="117"/>
      <c r="U26" s="117"/>
    </row>
    <row r="27" spans="2:21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>
        <f>P19/P26</f>
        <v>1.4564386436583412</v>
      </c>
      <c r="Q27" s="117"/>
      <c r="R27" s="117"/>
      <c r="S27" s="117"/>
      <c r="T27" s="117"/>
      <c r="U27" s="117"/>
    </row>
    <row r="28" spans="2:21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</row>
    <row r="29" spans="2:21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</row>
    <row r="30" spans="2:21">
      <c r="B30" s="117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</row>
    <row r="31" spans="2:21">
      <c r="B31" s="117"/>
      <c r="C31" s="117"/>
      <c r="D31" s="117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</row>
    <row r="32" spans="2:21">
      <c r="B32" s="117"/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</row>
    <row r="33" spans="2:21">
      <c r="B33" s="117"/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</row>
    <row r="34" spans="2:21">
      <c r="B34" s="117"/>
      <c r="C34" s="117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</row>
    <row r="35" spans="2:21">
      <c r="B35" s="117"/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</row>
    <row r="36" spans="2:21">
      <c r="B36" s="117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</row>
    <row r="37" spans="2:21">
      <c r="B37" s="117"/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</row>
    <row r="38" spans="2:21"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</row>
    <row r="39" spans="2:21">
      <c r="B39" s="117"/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</row>
    <row r="40" spans="2:21"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</row>
    <row r="41" spans="2:21">
      <c r="B41" s="117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</row>
    <row r="42" spans="2:21"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</row>
  </sheetData>
  <mergeCells count="21">
    <mergeCell ref="M1:M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T1:T2"/>
    <mergeCell ref="U1:U2"/>
    <mergeCell ref="V1:V2"/>
    <mergeCell ref="N1:N2"/>
    <mergeCell ref="O1:O2"/>
    <mergeCell ref="P1:P2"/>
    <mergeCell ref="Q1:Q2"/>
    <mergeCell ref="R1:R2"/>
    <mergeCell ref="S1:S2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58"/>
  <sheetViews>
    <sheetView topLeftCell="A31" workbookViewId="0">
      <pane xSplit="2" topLeftCell="G1" activePane="topRight" state="frozen"/>
      <selection pane="topRight" activeCell="M55" sqref="M55:O56"/>
    </sheetView>
  </sheetViews>
  <sheetFormatPr defaultRowHeight="16.5"/>
  <cols>
    <col min="1" max="1" width="9.5" bestFit="1" customWidth="1"/>
    <col min="2" max="2" width="12.125" bestFit="1" customWidth="1"/>
    <col min="3" max="3" width="13" bestFit="1" customWidth="1"/>
    <col min="4" max="4" width="15.125" bestFit="1" customWidth="1"/>
    <col min="5" max="6" width="21.375" bestFit="1" customWidth="1"/>
    <col min="7" max="7" width="31.125" bestFit="1" customWidth="1"/>
    <col min="8" max="8" width="26.875" bestFit="1" customWidth="1"/>
    <col min="9" max="9" width="31.125" bestFit="1" customWidth="1"/>
    <col min="10" max="10" width="26.875" bestFit="1" customWidth="1"/>
    <col min="11" max="11" width="31.125" bestFit="1" customWidth="1"/>
    <col min="12" max="12" width="26.875" bestFit="1" customWidth="1"/>
    <col min="13" max="14" width="31.125" bestFit="1" customWidth="1"/>
    <col min="15" max="15" width="25.5" bestFit="1" customWidth="1"/>
    <col min="16" max="16" width="27.625" bestFit="1" customWidth="1"/>
    <col min="17" max="17" width="25.5" bestFit="1" customWidth="1"/>
    <col min="18" max="18" width="27.625" bestFit="1" customWidth="1"/>
    <col min="19" max="19" width="14.375" bestFit="1" customWidth="1"/>
    <col min="20" max="20" width="16.5" bestFit="1" customWidth="1"/>
    <col min="21" max="22" width="13" style="157" bestFit="1" customWidth="1"/>
    <col min="23" max="23" width="9.5" style="157" bestFit="1" customWidth="1"/>
    <col min="24" max="24" width="11" style="157" bestFit="1" customWidth="1"/>
    <col min="25" max="25" width="13" style="157" bestFit="1" customWidth="1"/>
    <col min="26" max="27" width="11" style="157" bestFit="1" customWidth="1"/>
    <col min="28" max="28" width="13" style="157" bestFit="1" customWidth="1"/>
    <col min="29" max="29" width="11" style="157" bestFit="1" customWidth="1"/>
    <col min="30" max="30" width="9" style="157" bestFit="1" customWidth="1"/>
  </cols>
  <sheetData>
    <row r="1" spans="1:30" s="74" customFormat="1" ht="17.25" thickBot="1">
      <c r="A1" s="151" t="s">
        <v>361</v>
      </c>
      <c r="U1" s="157"/>
      <c r="V1" s="157"/>
      <c r="W1" s="157"/>
      <c r="X1" s="157"/>
      <c r="Y1" s="157"/>
      <c r="Z1" s="157"/>
      <c r="AA1" s="157"/>
      <c r="AB1" s="157"/>
      <c r="AC1" s="157"/>
      <c r="AD1" s="157"/>
    </row>
    <row r="2" spans="1:30" s="74" customFormat="1" ht="57.75" customHeight="1">
      <c r="A2" s="152" t="s">
        <v>289</v>
      </c>
      <c r="B2" s="169" t="s">
        <v>270</v>
      </c>
      <c r="C2" s="225" t="s">
        <v>453</v>
      </c>
      <c r="D2" s="225" t="s">
        <v>452</v>
      </c>
      <c r="E2" s="202" t="s">
        <v>274</v>
      </c>
      <c r="F2" s="202" t="s">
        <v>24</v>
      </c>
      <c r="G2" s="169" t="s">
        <v>363</v>
      </c>
      <c r="H2" s="202" t="s">
        <v>364</v>
      </c>
      <c r="I2" s="169" t="s">
        <v>365</v>
      </c>
      <c r="J2" s="226" t="s">
        <v>279</v>
      </c>
      <c r="K2" s="248" t="s">
        <v>366</v>
      </c>
      <c r="L2" s="228" t="s">
        <v>280</v>
      </c>
      <c r="O2" s="258" t="s">
        <v>532</v>
      </c>
      <c r="P2" s="259"/>
      <c r="Q2" s="259"/>
      <c r="R2" s="260"/>
      <c r="U2" s="303" t="s">
        <v>367</v>
      </c>
      <c r="V2" s="304" t="s">
        <v>368</v>
      </c>
      <c r="W2" s="177" t="s">
        <v>369</v>
      </c>
      <c r="X2" s="177" t="s">
        <v>370</v>
      </c>
      <c r="Y2" s="177" t="s">
        <v>371</v>
      </c>
      <c r="Z2" s="177" t="s">
        <v>372</v>
      </c>
      <c r="AA2" s="177" t="s">
        <v>283</v>
      </c>
      <c r="AB2" s="177" t="s">
        <v>284</v>
      </c>
      <c r="AC2" s="177" t="s">
        <v>285</v>
      </c>
      <c r="AD2" s="307" t="s">
        <v>286</v>
      </c>
    </row>
    <row r="3" spans="1:30" s="74" customFormat="1" ht="17.25" thickBot="1">
      <c r="A3" s="153" t="s">
        <v>207</v>
      </c>
      <c r="B3" s="170"/>
      <c r="C3" s="208"/>
      <c r="D3" s="208"/>
      <c r="E3" s="204"/>
      <c r="F3" s="204"/>
      <c r="G3" s="170"/>
      <c r="H3" s="204"/>
      <c r="I3" s="170"/>
      <c r="J3" s="227"/>
      <c r="K3" s="249"/>
      <c r="L3" s="229"/>
      <c r="O3" s="261"/>
      <c r="P3" s="262"/>
      <c r="Q3" s="262"/>
      <c r="R3" s="263"/>
      <c r="U3" s="305"/>
      <c r="V3" s="306"/>
      <c r="W3" s="180"/>
      <c r="X3" s="180"/>
      <c r="Y3" s="180"/>
      <c r="Z3" s="180"/>
      <c r="AA3" s="180"/>
      <c r="AB3" s="180"/>
      <c r="AC3" s="180"/>
      <c r="AD3" s="308"/>
    </row>
    <row r="4" spans="1:30" s="74" customFormat="1" ht="18.75" customHeight="1" thickBot="1">
      <c r="A4" s="154">
        <v>2897</v>
      </c>
      <c r="B4" s="154" t="s">
        <v>451</v>
      </c>
      <c r="C4" s="155">
        <v>4024649</v>
      </c>
      <c r="D4" s="155">
        <v>4031842</v>
      </c>
      <c r="E4" s="155">
        <v>599286</v>
      </c>
      <c r="F4" s="155">
        <v>4357908</v>
      </c>
      <c r="G4" s="155">
        <v>3099297</v>
      </c>
      <c r="H4" s="155">
        <v>785791</v>
      </c>
      <c r="I4" s="155">
        <v>2313506</v>
      </c>
      <c r="J4" s="155">
        <v>-12577</v>
      </c>
      <c r="K4" s="224" t="s">
        <v>288</v>
      </c>
      <c r="L4" s="231">
        <v>2300929</v>
      </c>
      <c r="O4" s="261"/>
      <c r="P4" s="262"/>
      <c r="Q4" s="262"/>
      <c r="R4" s="263"/>
      <c r="U4" s="223">
        <v>915112</v>
      </c>
      <c r="V4" s="222" t="s">
        <v>288</v>
      </c>
      <c r="W4" s="155">
        <v>3216041</v>
      </c>
      <c r="X4" s="155">
        <v>1147403</v>
      </c>
      <c r="Y4" s="156" t="s">
        <v>288</v>
      </c>
      <c r="Z4" s="155">
        <v>1153526</v>
      </c>
      <c r="AA4" s="155">
        <v>1384692</v>
      </c>
      <c r="AB4" s="156" t="s">
        <v>288</v>
      </c>
      <c r="AC4" s="155">
        <v>1831349</v>
      </c>
      <c r="AD4" s="156">
        <v>0.41</v>
      </c>
    </row>
    <row r="5" spans="1:30" s="74" customFormat="1" ht="17.25" thickBot="1">
      <c r="B5" s="230">
        <f>C4+D4-E4-F4-H4+J4</f>
        <v>2300929</v>
      </c>
      <c r="O5" s="261"/>
      <c r="P5" s="262"/>
      <c r="Q5" s="262"/>
      <c r="R5" s="263"/>
      <c r="U5" s="157"/>
      <c r="V5" s="157"/>
      <c r="W5" s="157"/>
      <c r="X5" s="157"/>
      <c r="Y5" s="157"/>
      <c r="Z5" s="157"/>
      <c r="AA5" s="157"/>
      <c r="AB5" s="157"/>
      <c r="AC5" s="157"/>
      <c r="AD5" s="157"/>
    </row>
    <row r="6" spans="1:30" s="117" customFormat="1" ht="17.25" thickBot="1">
      <c r="A6" s="145" t="s">
        <v>380</v>
      </c>
      <c r="O6" s="261"/>
      <c r="P6" s="262"/>
      <c r="Q6" s="262"/>
      <c r="R6" s="263"/>
      <c r="U6" s="157"/>
      <c r="V6" s="157"/>
      <c r="W6" s="157"/>
      <c r="X6" s="157"/>
      <c r="Y6" s="157"/>
      <c r="Z6" s="157"/>
      <c r="AA6" s="157"/>
      <c r="AB6" s="157"/>
      <c r="AC6" s="157"/>
      <c r="AD6" s="157"/>
    </row>
    <row r="7" spans="1:30" s="74" customFormat="1" ht="57.75" customHeight="1" thickBot="1">
      <c r="A7" s="232" t="s">
        <v>289</v>
      </c>
      <c r="B7" s="233" t="s">
        <v>270</v>
      </c>
      <c r="C7" s="244" t="s">
        <v>454</v>
      </c>
      <c r="D7" s="202" t="s">
        <v>455</v>
      </c>
      <c r="E7" s="233" t="s">
        <v>456</v>
      </c>
      <c r="F7" s="244" t="s">
        <v>457</v>
      </c>
      <c r="G7" s="233" t="s">
        <v>458</v>
      </c>
      <c r="H7" s="202" t="s">
        <v>459</v>
      </c>
      <c r="I7" s="233" t="s">
        <v>460</v>
      </c>
      <c r="J7" s="226" t="s">
        <v>461</v>
      </c>
      <c r="K7" s="234" t="s">
        <v>462</v>
      </c>
      <c r="L7" s="250" t="s">
        <v>463</v>
      </c>
      <c r="O7" s="264"/>
      <c r="P7" s="265"/>
      <c r="Q7" s="265"/>
      <c r="R7" s="266"/>
      <c r="U7" s="177" t="s">
        <v>378</v>
      </c>
      <c r="V7" s="177" t="s">
        <v>368</v>
      </c>
      <c r="W7" s="177" t="s">
        <v>379</v>
      </c>
      <c r="X7" s="177" t="s">
        <v>370</v>
      </c>
      <c r="Y7" s="177" t="s">
        <v>281</v>
      </c>
      <c r="Z7" s="177" t="s">
        <v>372</v>
      </c>
      <c r="AA7" s="177" t="s">
        <v>283</v>
      </c>
      <c r="AB7" s="177" t="s">
        <v>284</v>
      </c>
      <c r="AC7" s="177" t="s">
        <v>285</v>
      </c>
      <c r="AD7" s="307" t="s">
        <v>286</v>
      </c>
    </row>
    <row r="8" spans="1:30" s="74" customFormat="1" ht="17.25" thickBot="1">
      <c r="A8" s="235" t="s">
        <v>207</v>
      </c>
      <c r="B8" s="236"/>
      <c r="C8" s="245"/>
      <c r="D8" s="204"/>
      <c r="E8" s="236"/>
      <c r="F8" s="245"/>
      <c r="G8" s="236"/>
      <c r="H8" s="204"/>
      <c r="I8" s="236"/>
      <c r="J8" s="227"/>
      <c r="K8" s="237"/>
      <c r="L8" s="229"/>
      <c r="U8" s="180"/>
      <c r="V8" s="180"/>
      <c r="W8" s="180"/>
      <c r="X8" s="180"/>
      <c r="Y8" s="180"/>
      <c r="Z8" s="180"/>
      <c r="AA8" s="180"/>
      <c r="AB8" s="180"/>
      <c r="AC8" s="180"/>
      <c r="AD8" s="308"/>
    </row>
    <row r="9" spans="1:30" s="74" customFormat="1" ht="17.25" thickBot="1">
      <c r="A9" s="111">
        <v>2855</v>
      </c>
      <c r="B9" s="111" t="s">
        <v>397</v>
      </c>
      <c r="C9" s="155">
        <v>9581272</v>
      </c>
      <c r="D9" s="155">
        <v>5974162</v>
      </c>
      <c r="E9" s="155">
        <v>3607110</v>
      </c>
      <c r="F9" s="155">
        <v>375712</v>
      </c>
      <c r="G9" s="155">
        <v>3982822</v>
      </c>
      <c r="H9" s="155">
        <v>368226</v>
      </c>
      <c r="I9" s="155">
        <v>3614596</v>
      </c>
      <c r="J9" s="155" t="s">
        <v>288</v>
      </c>
      <c r="K9" s="155" t="s">
        <v>288</v>
      </c>
      <c r="L9" s="247">
        <v>3614596</v>
      </c>
      <c r="U9" s="220">
        <v>475346</v>
      </c>
      <c r="V9" s="221" t="s">
        <v>288</v>
      </c>
      <c r="W9" s="220">
        <v>4089942</v>
      </c>
      <c r="X9" s="220">
        <v>3607518</v>
      </c>
      <c r="Y9" s="221" t="s">
        <v>288</v>
      </c>
      <c r="Z9" s="220">
        <v>7078</v>
      </c>
      <c r="AA9" s="220">
        <v>4080025</v>
      </c>
      <c r="AB9" s="221" t="s">
        <v>288</v>
      </c>
      <c r="AC9" s="220">
        <v>9917</v>
      </c>
      <c r="AD9" s="221">
        <v>2.58</v>
      </c>
    </row>
    <row r="10" spans="1:30" s="74" customFormat="1" ht="17.25" thickBot="1">
      <c r="B10" s="246">
        <f>C9-D9+F9-H9</f>
        <v>3614596</v>
      </c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</row>
    <row r="11" spans="1:30" s="74" customFormat="1" ht="17.25" thickBot="1">
      <c r="A11" s="142" t="s">
        <v>386</v>
      </c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</row>
    <row r="12" spans="1:30" s="74" customFormat="1" ht="57.75" customHeight="1">
      <c r="A12" s="238" t="s">
        <v>289</v>
      </c>
      <c r="B12" s="234" t="s">
        <v>270</v>
      </c>
      <c r="C12" s="244" t="s">
        <v>466</v>
      </c>
      <c r="D12" s="202" t="s">
        <v>468</v>
      </c>
      <c r="E12" s="226" t="s">
        <v>472</v>
      </c>
      <c r="F12" s="226" t="s">
        <v>473</v>
      </c>
      <c r="G12" s="234" t="s">
        <v>381</v>
      </c>
      <c r="H12" s="226" t="s">
        <v>474</v>
      </c>
      <c r="I12" s="226" t="s">
        <v>475</v>
      </c>
      <c r="J12" s="234" t="s">
        <v>469</v>
      </c>
      <c r="K12" s="202" t="s">
        <v>470</v>
      </c>
      <c r="L12" s="226" t="s">
        <v>471</v>
      </c>
      <c r="M12" s="234" t="s">
        <v>382</v>
      </c>
      <c r="N12" s="244" t="s">
        <v>467</v>
      </c>
      <c r="O12" s="234" t="s">
        <v>376</v>
      </c>
      <c r="P12" s="202" t="s">
        <v>459</v>
      </c>
      <c r="Q12" s="234" t="s">
        <v>278</v>
      </c>
      <c r="R12" s="226" t="s">
        <v>461</v>
      </c>
      <c r="S12" s="234" t="s">
        <v>366</v>
      </c>
      <c r="T12" s="250" t="s">
        <v>463</v>
      </c>
      <c r="U12" s="177" t="s">
        <v>384</v>
      </c>
      <c r="V12" s="177" t="s">
        <v>368</v>
      </c>
      <c r="W12" s="177" t="s">
        <v>379</v>
      </c>
      <c r="X12" s="177" t="s">
        <v>385</v>
      </c>
      <c r="Y12" s="177" t="s">
        <v>281</v>
      </c>
      <c r="Z12" s="177" t="s">
        <v>282</v>
      </c>
      <c r="AA12" s="177" t="s">
        <v>283</v>
      </c>
      <c r="AB12" s="177" t="s">
        <v>284</v>
      </c>
      <c r="AC12" s="177" t="s">
        <v>285</v>
      </c>
      <c r="AD12" s="307" t="s">
        <v>286</v>
      </c>
    </row>
    <row r="13" spans="1:30" s="74" customFormat="1" ht="17.25" thickBot="1">
      <c r="A13" s="239" t="s">
        <v>207</v>
      </c>
      <c r="B13" s="237"/>
      <c r="C13" s="245"/>
      <c r="D13" s="204"/>
      <c r="E13" s="227"/>
      <c r="F13" s="227"/>
      <c r="G13" s="237"/>
      <c r="H13" s="227"/>
      <c r="I13" s="227"/>
      <c r="J13" s="237"/>
      <c r="K13" s="204"/>
      <c r="L13" s="227"/>
      <c r="M13" s="237"/>
      <c r="N13" s="245"/>
      <c r="O13" s="237"/>
      <c r="P13" s="204"/>
      <c r="Q13" s="237"/>
      <c r="R13" s="227"/>
      <c r="S13" s="237"/>
      <c r="T13" s="229"/>
      <c r="U13" s="180"/>
      <c r="V13" s="180"/>
      <c r="W13" s="180"/>
      <c r="X13" s="180"/>
      <c r="Y13" s="180"/>
      <c r="Z13" s="180"/>
      <c r="AA13" s="180"/>
      <c r="AB13" s="180"/>
      <c r="AC13" s="180"/>
      <c r="AD13" s="308"/>
    </row>
    <row r="14" spans="1:30" s="74" customFormat="1" ht="17.25" thickBot="1">
      <c r="A14" s="154">
        <v>2443</v>
      </c>
      <c r="B14" s="154" t="s">
        <v>465</v>
      </c>
      <c r="C14" s="155">
        <v>469729</v>
      </c>
      <c r="D14" s="155">
        <v>543713</v>
      </c>
      <c r="E14" s="156">
        <v>0</v>
      </c>
      <c r="F14" s="156">
        <v>0</v>
      </c>
      <c r="G14" s="155">
        <v>-73984</v>
      </c>
      <c r="H14" s="156">
        <v>0</v>
      </c>
      <c r="I14" s="156">
        <v>0</v>
      </c>
      <c r="J14" s="155">
        <v>-73984</v>
      </c>
      <c r="K14" s="155">
        <v>181001</v>
      </c>
      <c r="L14" s="155">
        <v>-191252</v>
      </c>
      <c r="M14" s="155">
        <v>-446237</v>
      </c>
      <c r="N14" s="155">
        <v>-8633</v>
      </c>
      <c r="O14" s="155">
        <v>-454870</v>
      </c>
      <c r="P14" s="156">
        <v>0</v>
      </c>
      <c r="Q14" s="155">
        <v>-454870</v>
      </c>
      <c r="R14" s="156">
        <v>0</v>
      </c>
      <c r="S14" s="156" t="s">
        <v>288</v>
      </c>
      <c r="T14" s="247">
        <v>-454870</v>
      </c>
      <c r="U14" s="155">
        <v>43157</v>
      </c>
      <c r="V14" s="156" t="s">
        <v>288</v>
      </c>
      <c r="W14" s="155">
        <v>-411713</v>
      </c>
      <c r="X14" s="155">
        <v>-449589</v>
      </c>
      <c r="Y14" s="156" t="s">
        <v>288</v>
      </c>
      <c r="Z14" s="155">
        <v>-5281</v>
      </c>
      <c r="AA14" s="155">
        <v>-408804</v>
      </c>
      <c r="AB14" s="156" t="s">
        <v>288</v>
      </c>
      <c r="AC14" s="155">
        <v>-2909</v>
      </c>
      <c r="AD14" s="156">
        <v>-3.09</v>
      </c>
    </row>
    <row r="15" spans="1:30" s="74" customFormat="1" ht="17.25" thickBot="1">
      <c r="B15" s="230">
        <f>C14-D14-K14+L14+N14</f>
        <v>-454870</v>
      </c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</row>
    <row r="16" spans="1:30" s="74" customFormat="1" ht="17.25" thickBot="1">
      <c r="A16" s="143" t="s">
        <v>387</v>
      </c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</row>
    <row r="17" spans="1:30" s="74" customFormat="1" ht="57.75" customHeight="1">
      <c r="A17" s="238" t="s">
        <v>289</v>
      </c>
      <c r="B17" s="234" t="s">
        <v>270</v>
      </c>
      <c r="C17" s="244" t="s">
        <v>453</v>
      </c>
      <c r="D17" s="244" t="s">
        <v>476</v>
      </c>
      <c r="E17" s="234" t="s">
        <v>273</v>
      </c>
      <c r="F17" s="202" t="s">
        <v>477</v>
      </c>
      <c r="G17" s="202" t="s">
        <v>478</v>
      </c>
      <c r="H17" s="202" t="s">
        <v>470</v>
      </c>
      <c r="I17" s="234" t="s">
        <v>276</v>
      </c>
      <c r="J17" s="202" t="s">
        <v>479</v>
      </c>
      <c r="K17" s="234" t="s">
        <v>278</v>
      </c>
      <c r="L17" s="226" t="s">
        <v>461</v>
      </c>
      <c r="M17" s="228" t="s">
        <v>464</v>
      </c>
      <c r="U17" s="157"/>
      <c r="V17" s="177" t="s">
        <v>378</v>
      </c>
      <c r="W17" s="177" t="s">
        <v>379</v>
      </c>
      <c r="X17" s="177" t="s">
        <v>385</v>
      </c>
      <c r="Y17" s="177" t="s">
        <v>281</v>
      </c>
      <c r="Z17" s="177" t="s">
        <v>282</v>
      </c>
      <c r="AA17" s="177" t="s">
        <v>283</v>
      </c>
      <c r="AB17" s="177" t="s">
        <v>284</v>
      </c>
      <c r="AC17" s="177" t="s">
        <v>285</v>
      </c>
      <c r="AD17" s="307" t="s">
        <v>286</v>
      </c>
    </row>
    <row r="18" spans="1:30" s="74" customFormat="1" ht="17.25" thickBot="1">
      <c r="A18" s="239" t="s">
        <v>207</v>
      </c>
      <c r="B18" s="237"/>
      <c r="C18" s="245"/>
      <c r="D18" s="245"/>
      <c r="E18" s="237"/>
      <c r="F18" s="204"/>
      <c r="G18" s="204"/>
      <c r="H18" s="204"/>
      <c r="I18" s="237"/>
      <c r="J18" s="204"/>
      <c r="K18" s="237"/>
      <c r="L18" s="227"/>
      <c r="M18" s="229"/>
      <c r="U18" s="157"/>
      <c r="V18" s="180"/>
      <c r="W18" s="180"/>
      <c r="X18" s="180"/>
      <c r="Y18" s="180"/>
      <c r="Z18" s="180"/>
      <c r="AA18" s="180"/>
      <c r="AB18" s="180"/>
      <c r="AC18" s="180"/>
      <c r="AD18" s="308"/>
    </row>
    <row r="19" spans="1:30" s="74" customFormat="1" ht="17.25" thickBot="1">
      <c r="A19" s="111">
        <v>2880</v>
      </c>
      <c r="B19" s="111" t="s">
        <v>287</v>
      </c>
      <c r="C19" s="155">
        <v>24642539</v>
      </c>
      <c r="D19" s="155">
        <v>15321985</v>
      </c>
      <c r="E19" s="155">
        <v>39964524</v>
      </c>
      <c r="F19" s="155">
        <v>2061723</v>
      </c>
      <c r="G19" s="155">
        <v>911675</v>
      </c>
      <c r="H19" s="155">
        <v>25801321</v>
      </c>
      <c r="I19" s="155">
        <v>11189805</v>
      </c>
      <c r="J19" s="155">
        <v>2536322</v>
      </c>
      <c r="K19" s="155">
        <v>8653483</v>
      </c>
      <c r="L19" s="155" t="s">
        <v>288</v>
      </c>
      <c r="M19" s="247">
        <v>8653483</v>
      </c>
      <c r="U19" s="157"/>
      <c r="V19" s="220">
        <v>-1129275</v>
      </c>
      <c r="W19" s="220">
        <v>7524208</v>
      </c>
      <c r="X19" s="220">
        <v>8653353</v>
      </c>
      <c r="Y19" s="221" t="s">
        <v>288</v>
      </c>
      <c r="Z19" s="221">
        <v>130</v>
      </c>
      <c r="AA19" s="220">
        <v>7524039</v>
      </c>
      <c r="AB19" s="221" t="s">
        <v>288</v>
      </c>
      <c r="AC19" s="221">
        <v>169</v>
      </c>
      <c r="AD19" s="221">
        <v>0.6</v>
      </c>
    </row>
    <row r="20" spans="1:30" s="74" customFormat="1" ht="17.25" thickBot="1">
      <c r="B20" s="230">
        <f>C19+D19-F19-G19-H19-J19</f>
        <v>8653483</v>
      </c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</row>
    <row r="21" spans="1:30" s="74" customFormat="1" ht="17.25" thickBot="1">
      <c r="A21" s="148" t="s">
        <v>388</v>
      </c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</row>
    <row r="22" spans="1:30" s="74" customFormat="1" ht="57.75" customHeight="1">
      <c r="A22" s="238" t="s">
        <v>289</v>
      </c>
      <c r="B22" s="234" t="s">
        <v>270</v>
      </c>
      <c r="C22" s="244" t="s">
        <v>466</v>
      </c>
      <c r="D22" s="202" t="s">
        <v>468</v>
      </c>
      <c r="E22" s="202" t="s">
        <v>470</v>
      </c>
      <c r="F22" s="234" t="s">
        <v>382</v>
      </c>
      <c r="G22" s="244" t="s">
        <v>467</v>
      </c>
      <c r="H22" s="234" t="s">
        <v>389</v>
      </c>
      <c r="I22" s="202" t="s">
        <v>459</v>
      </c>
      <c r="J22" s="234" t="s">
        <v>390</v>
      </c>
      <c r="K22" s="226" t="s">
        <v>461</v>
      </c>
      <c r="L22" s="234" t="s">
        <v>366</v>
      </c>
      <c r="M22" s="228" t="s">
        <v>463</v>
      </c>
      <c r="U22" s="177" t="s">
        <v>391</v>
      </c>
      <c r="V22" s="177" t="s">
        <v>368</v>
      </c>
      <c r="W22" s="177" t="s">
        <v>379</v>
      </c>
      <c r="X22" s="177" t="s">
        <v>385</v>
      </c>
      <c r="Y22" s="177" t="s">
        <v>281</v>
      </c>
      <c r="Z22" s="177" t="s">
        <v>282</v>
      </c>
      <c r="AA22" s="177" t="s">
        <v>283</v>
      </c>
      <c r="AB22" s="177" t="s">
        <v>284</v>
      </c>
      <c r="AC22" s="177" t="s">
        <v>285</v>
      </c>
      <c r="AD22" s="307" t="s">
        <v>286</v>
      </c>
    </row>
    <row r="23" spans="1:30" s="74" customFormat="1" ht="17.25" thickBot="1">
      <c r="A23" s="239" t="s">
        <v>207</v>
      </c>
      <c r="B23" s="237"/>
      <c r="C23" s="245"/>
      <c r="D23" s="204"/>
      <c r="E23" s="204"/>
      <c r="F23" s="237"/>
      <c r="G23" s="245"/>
      <c r="H23" s="237"/>
      <c r="I23" s="204"/>
      <c r="J23" s="237"/>
      <c r="K23" s="227"/>
      <c r="L23" s="237"/>
      <c r="M23" s="229"/>
      <c r="U23" s="180"/>
      <c r="V23" s="180"/>
      <c r="W23" s="180"/>
      <c r="X23" s="180"/>
      <c r="Y23" s="180"/>
      <c r="Z23" s="180"/>
      <c r="AA23" s="180"/>
      <c r="AB23" s="180"/>
      <c r="AC23" s="180"/>
      <c r="AD23" s="308"/>
    </row>
    <row r="24" spans="1:30" s="74" customFormat="1" ht="17.25" thickBot="1">
      <c r="A24" s="154">
        <v>2816</v>
      </c>
      <c r="B24" s="154" t="s">
        <v>399</v>
      </c>
      <c r="C24" s="155">
        <v>8237782</v>
      </c>
      <c r="D24" s="155">
        <v>5509703</v>
      </c>
      <c r="E24" s="155">
        <v>2054189</v>
      </c>
      <c r="F24" s="155">
        <v>673890</v>
      </c>
      <c r="G24" s="155">
        <v>32162</v>
      </c>
      <c r="H24" s="155">
        <v>706052</v>
      </c>
      <c r="I24" s="155">
        <v>3955</v>
      </c>
      <c r="J24" s="155">
        <v>702097</v>
      </c>
      <c r="K24" s="155" t="s">
        <v>288</v>
      </c>
      <c r="L24" s="155" t="s">
        <v>288</v>
      </c>
      <c r="M24" s="247">
        <v>702097</v>
      </c>
      <c r="U24" s="220">
        <v>-82387</v>
      </c>
      <c r="V24" s="221" t="s">
        <v>288</v>
      </c>
      <c r="W24" s="220">
        <v>619710</v>
      </c>
      <c r="X24" s="220">
        <v>702097</v>
      </c>
      <c r="Y24" s="221" t="s">
        <v>288</v>
      </c>
      <c r="Z24" s="221">
        <v>0</v>
      </c>
      <c r="AA24" s="220">
        <v>619710</v>
      </c>
      <c r="AB24" s="221" t="s">
        <v>288</v>
      </c>
      <c r="AC24" s="221">
        <v>0</v>
      </c>
      <c r="AD24" s="221">
        <v>3.14</v>
      </c>
    </row>
    <row r="25" spans="1:30" s="74" customFormat="1" ht="17.25" thickBot="1">
      <c r="B25" s="230">
        <f>C24-D24-E24+G24-I24</f>
        <v>702097</v>
      </c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</row>
    <row r="26" spans="1:30" s="74" customFormat="1" ht="17.25" thickBot="1">
      <c r="A26" s="219" t="s">
        <v>395</v>
      </c>
      <c r="U26" s="157"/>
      <c r="V26" s="157"/>
      <c r="W26" s="157"/>
      <c r="X26" s="157"/>
      <c r="Y26" s="157"/>
      <c r="Z26" s="157"/>
      <c r="AA26" s="157"/>
      <c r="AB26" s="157"/>
      <c r="AC26" s="157"/>
      <c r="AD26" s="157"/>
    </row>
    <row r="27" spans="1:30" ht="57.75" customHeight="1">
      <c r="A27" s="242" t="s">
        <v>289</v>
      </c>
      <c r="B27" s="240" t="s">
        <v>270</v>
      </c>
      <c r="C27" s="244" t="s">
        <v>402</v>
      </c>
      <c r="D27" s="202" t="s">
        <v>403</v>
      </c>
      <c r="E27" s="240" t="s">
        <v>363</v>
      </c>
      <c r="F27" s="202" t="s">
        <v>459</v>
      </c>
      <c r="G27" s="240" t="s">
        <v>278</v>
      </c>
      <c r="H27" s="226" t="s">
        <v>461</v>
      </c>
      <c r="I27" s="228" t="s">
        <v>463</v>
      </c>
      <c r="V27" s="177" t="s">
        <v>394</v>
      </c>
      <c r="W27" s="177" t="s">
        <v>379</v>
      </c>
      <c r="X27" s="177" t="s">
        <v>385</v>
      </c>
      <c r="Y27" s="177" t="s">
        <v>281</v>
      </c>
      <c r="Z27" s="177" t="s">
        <v>282</v>
      </c>
      <c r="AA27" s="177" t="s">
        <v>283</v>
      </c>
      <c r="AB27" s="177" t="s">
        <v>284</v>
      </c>
      <c r="AC27" s="177" t="s">
        <v>285</v>
      </c>
      <c r="AD27" s="307" t="s">
        <v>286</v>
      </c>
    </row>
    <row r="28" spans="1:30" ht="17.25" thickBot="1">
      <c r="A28" s="243" t="s">
        <v>207</v>
      </c>
      <c r="B28" s="241"/>
      <c r="C28" s="245"/>
      <c r="D28" s="204"/>
      <c r="E28" s="241"/>
      <c r="F28" s="204"/>
      <c r="G28" s="241"/>
      <c r="H28" s="227"/>
      <c r="I28" s="229"/>
      <c r="V28" s="180"/>
      <c r="W28" s="180"/>
      <c r="X28" s="180"/>
      <c r="Y28" s="180"/>
      <c r="Z28" s="180"/>
      <c r="AA28" s="180"/>
      <c r="AB28" s="180"/>
      <c r="AC28" s="180"/>
      <c r="AD28" s="308"/>
    </row>
    <row r="29" spans="1:30" ht="17.25" thickBot="1">
      <c r="A29" s="111">
        <v>1409</v>
      </c>
      <c r="B29" s="111" t="s">
        <v>400</v>
      </c>
      <c r="C29" s="155">
        <v>32128967</v>
      </c>
      <c r="D29" s="155">
        <v>29811797</v>
      </c>
      <c r="E29" s="155">
        <v>2317170</v>
      </c>
      <c r="F29" s="155">
        <v>718945</v>
      </c>
      <c r="G29" s="155">
        <v>1598225</v>
      </c>
      <c r="H29" s="155">
        <v>2041659</v>
      </c>
      <c r="I29" s="247">
        <v>3639884</v>
      </c>
      <c r="V29" s="220">
        <v>-589993</v>
      </c>
      <c r="W29" s="220">
        <v>3049891</v>
      </c>
      <c r="X29" s="220">
        <v>2884329</v>
      </c>
      <c r="Y29" s="221" t="s">
        <v>288</v>
      </c>
      <c r="Z29" s="220">
        <v>755555</v>
      </c>
      <c r="AA29" s="220">
        <v>2338576</v>
      </c>
      <c r="AB29" s="221" t="s">
        <v>288</v>
      </c>
      <c r="AC29" s="220">
        <v>711315</v>
      </c>
      <c r="AD29" s="221">
        <v>1.79</v>
      </c>
    </row>
    <row r="30" spans="1:30">
      <c r="B30" s="230">
        <f>C29-D29-F29+H29</f>
        <v>3639884</v>
      </c>
    </row>
    <row r="31" spans="1:30" ht="13.5" customHeight="1"/>
    <row r="32" spans="1:30" s="193" customFormat="1" ht="26.25" customHeight="1">
      <c r="U32" s="194"/>
      <c r="V32" s="194"/>
      <c r="W32" s="194"/>
      <c r="X32" s="194"/>
      <c r="Y32" s="194"/>
      <c r="Z32" s="194"/>
      <c r="AA32" s="194"/>
      <c r="AB32" s="194"/>
      <c r="AC32" s="194"/>
      <c r="AD32" s="194"/>
    </row>
    <row r="33" spans="1:20" ht="17.25" thickBot="1"/>
    <row r="34" spans="1:20" ht="17.25" thickBot="1">
      <c r="A34" s="151" t="s">
        <v>361</v>
      </c>
      <c r="B34" s="74"/>
    </row>
    <row r="35" spans="1:20">
      <c r="A35" s="199" t="s">
        <v>429</v>
      </c>
      <c r="B35" s="200" t="s">
        <v>270</v>
      </c>
      <c r="C35" s="207" t="s">
        <v>271</v>
      </c>
      <c r="D35" s="275" t="s">
        <v>495</v>
      </c>
      <c r="E35" s="207" t="s">
        <v>272</v>
      </c>
      <c r="F35" s="203" t="s">
        <v>496</v>
      </c>
      <c r="G35" s="203" t="s">
        <v>24</v>
      </c>
      <c r="H35" s="275" t="s">
        <v>497</v>
      </c>
      <c r="I35" s="203" t="s">
        <v>498</v>
      </c>
      <c r="J35" s="200" t="s">
        <v>499</v>
      </c>
      <c r="K35" s="271" t="s">
        <v>500</v>
      </c>
      <c r="L35" s="271" t="s">
        <v>501</v>
      </c>
      <c r="M35" s="271" t="s">
        <v>502</v>
      </c>
      <c r="N35" s="211" t="s">
        <v>503</v>
      </c>
      <c r="T35" s="312" t="s">
        <v>504</v>
      </c>
    </row>
    <row r="36" spans="1:20" ht="17.25" thickBot="1">
      <c r="A36" s="299" t="s">
        <v>207</v>
      </c>
      <c r="B36" s="201"/>
      <c r="C36" s="209"/>
      <c r="D36" s="276"/>
      <c r="E36" s="209"/>
      <c r="F36" s="205"/>
      <c r="G36" s="205"/>
      <c r="H36" s="276"/>
      <c r="I36" s="205"/>
      <c r="J36" s="201"/>
      <c r="K36" s="272"/>
      <c r="L36" s="272"/>
      <c r="M36" s="272"/>
      <c r="N36" s="213"/>
      <c r="T36" s="313"/>
    </row>
    <row r="37" spans="1:20" ht="17.25" thickBot="1">
      <c r="A37" s="309">
        <v>2801</v>
      </c>
      <c r="B37" s="309" t="s">
        <v>396</v>
      </c>
      <c r="C37" s="310">
        <v>14041645</v>
      </c>
      <c r="D37" s="310">
        <v>3819455</v>
      </c>
      <c r="E37" s="310">
        <v>14444682</v>
      </c>
      <c r="F37" s="310">
        <v>4749980</v>
      </c>
      <c r="G37" s="310">
        <v>12670763</v>
      </c>
      <c r="H37" s="310">
        <v>11065584</v>
      </c>
      <c r="I37" s="310">
        <v>-3239032</v>
      </c>
      <c r="J37" s="310">
        <v>7826552</v>
      </c>
      <c r="K37" s="311">
        <v>0</v>
      </c>
      <c r="L37" s="311">
        <v>0</v>
      </c>
      <c r="M37" s="311">
        <v>0</v>
      </c>
      <c r="N37" s="310">
        <v>7826552</v>
      </c>
      <c r="O37" s="311">
        <v>1.26</v>
      </c>
      <c r="T37" s="302">
        <v>0.63</v>
      </c>
    </row>
    <row r="38" spans="1:20" ht="17.25" thickBot="1">
      <c r="A38" s="74"/>
      <c r="B38" s="230">
        <f>C37+E37-F37-G37+I37</f>
        <v>7826552</v>
      </c>
    </row>
    <row r="39" spans="1:20" ht="17.25" thickBot="1">
      <c r="A39" s="145" t="s">
        <v>380</v>
      </c>
      <c r="B39" s="117"/>
    </row>
    <row r="40" spans="1:20">
      <c r="A40" s="199" t="s">
        <v>289</v>
      </c>
      <c r="B40" s="200" t="s">
        <v>270</v>
      </c>
      <c r="C40" s="207" t="s">
        <v>20</v>
      </c>
      <c r="D40" s="203" t="s">
        <v>24</v>
      </c>
      <c r="E40" s="200" t="s">
        <v>276</v>
      </c>
      <c r="F40" s="203" t="s">
        <v>505</v>
      </c>
      <c r="G40" s="271" t="s">
        <v>279</v>
      </c>
      <c r="H40" s="271" t="s">
        <v>506</v>
      </c>
      <c r="I40" s="271" t="s">
        <v>507</v>
      </c>
      <c r="J40" s="211" t="s">
        <v>508</v>
      </c>
      <c r="T40" s="312" t="s">
        <v>509</v>
      </c>
    </row>
    <row r="41" spans="1:20" ht="17.25" thickBot="1">
      <c r="A41" s="299" t="s">
        <v>207</v>
      </c>
      <c r="B41" s="201"/>
      <c r="C41" s="209"/>
      <c r="D41" s="205"/>
      <c r="E41" s="201"/>
      <c r="F41" s="205"/>
      <c r="G41" s="272"/>
      <c r="H41" s="272"/>
      <c r="I41" s="272"/>
      <c r="J41" s="213"/>
      <c r="T41" s="313"/>
    </row>
    <row r="42" spans="1:20" ht="17.25" thickBot="1">
      <c r="A42" s="309">
        <v>2855</v>
      </c>
      <c r="B42" s="309" t="s">
        <v>397</v>
      </c>
      <c r="C42" s="310">
        <v>5696816</v>
      </c>
      <c r="D42" s="310">
        <v>3833539</v>
      </c>
      <c r="E42" s="310">
        <v>1863277</v>
      </c>
      <c r="F42" s="310">
        <v>59929</v>
      </c>
      <c r="G42" s="311">
        <v>0</v>
      </c>
      <c r="H42" s="311">
        <v>0</v>
      </c>
      <c r="I42" s="311">
        <v>0</v>
      </c>
      <c r="J42" s="310">
        <v>1803348</v>
      </c>
      <c r="T42" s="311">
        <v>1.5</v>
      </c>
    </row>
    <row r="43" spans="1:20" ht="17.25" thickBot="1">
      <c r="A43" s="74"/>
      <c r="B43" s="246">
        <f>C42-D42-F42</f>
        <v>1803348</v>
      </c>
    </row>
    <row r="44" spans="1:20" ht="17.25" thickBot="1">
      <c r="A44" s="142" t="s">
        <v>386</v>
      </c>
      <c r="B44" s="74"/>
    </row>
    <row r="45" spans="1:20">
      <c r="A45" s="199" t="s">
        <v>429</v>
      </c>
      <c r="B45" s="200" t="s">
        <v>270</v>
      </c>
      <c r="C45" s="207" t="s">
        <v>211</v>
      </c>
      <c r="D45" s="203" t="s">
        <v>21</v>
      </c>
      <c r="E45" s="200" t="s">
        <v>510</v>
      </c>
      <c r="F45" s="203" t="s">
        <v>511</v>
      </c>
      <c r="G45" s="207" t="s">
        <v>512</v>
      </c>
      <c r="H45" s="203" t="s">
        <v>24</v>
      </c>
      <c r="I45" s="200" t="s">
        <v>513</v>
      </c>
      <c r="J45" s="207" t="s">
        <v>514</v>
      </c>
      <c r="K45" s="203" t="s">
        <v>515</v>
      </c>
      <c r="L45" s="200" t="s">
        <v>497</v>
      </c>
      <c r="M45" s="203" t="s">
        <v>498</v>
      </c>
      <c r="N45" s="275" t="s">
        <v>516</v>
      </c>
      <c r="O45" s="271" t="s">
        <v>279</v>
      </c>
      <c r="P45" s="271" t="s">
        <v>506</v>
      </c>
      <c r="Q45" s="271" t="s">
        <v>507</v>
      </c>
      <c r="R45" s="271" t="s">
        <v>366</v>
      </c>
      <c r="S45" s="211" t="s">
        <v>503</v>
      </c>
      <c r="T45" s="312" t="s">
        <v>517</v>
      </c>
    </row>
    <row r="46" spans="1:20" ht="17.25" thickBot="1">
      <c r="A46" s="299" t="s">
        <v>207</v>
      </c>
      <c r="B46" s="201"/>
      <c r="C46" s="209"/>
      <c r="D46" s="205"/>
      <c r="E46" s="201"/>
      <c r="F46" s="205"/>
      <c r="G46" s="209"/>
      <c r="H46" s="205"/>
      <c r="I46" s="201"/>
      <c r="J46" s="209"/>
      <c r="K46" s="205"/>
      <c r="L46" s="201"/>
      <c r="M46" s="205"/>
      <c r="N46" s="276"/>
      <c r="O46" s="272"/>
      <c r="P46" s="272"/>
      <c r="Q46" s="272"/>
      <c r="R46" s="272"/>
      <c r="S46" s="213"/>
      <c r="T46" s="313"/>
    </row>
    <row r="47" spans="1:20" ht="17.25" thickBot="1">
      <c r="A47" s="300">
        <v>2451</v>
      </c>
      <c r="B47" s="300" t="s">
        <v>531</v>
      </c>
      <c r="C47" s="301">
        <v>31439881</v>
      </c>
      <c r="D47" s="301">
        <v>28889095</v>
      </c>
      <c r="E47" s="301">
        <v>2550786</v>
      </c>
      <c r="F47" s="301">
        <v>108062</v>
      </c>
      <c r="G47" s="301">
        <v>31737</v>
      </c>
      <c r="H47" s="301">
        <v>744523</v>
      </c>
      <c r="I47" s="301">
        <v>1729938</v>
      </c>
      <c r="J47" s="301">
        <v>584395</v>
      </c>
      <c r="K47" s="301">
        <v>446617</v>
      </c>
      <c r="L47" s="301">
        <v>1867716</v>
      </c>
      <c r="M47" s="301">
        <v>392360</v>
      </c>
      <c r="N47" s="301">
        <v>1475356</v>
      </c>
      <c r="O47" s="302">
        <v>0</v>
      </c>
      <c r="P47" s="302">
        <v>0</v>
      </c>
      <c r="Q47" s="302">
        <v>0</v>
      </c>
      <c r="R47" s="302">
        <v>0</v>
      </c>
      <c r="S47" s="301">
        <v>1475356</v>
      </c>
      <c r="T47" s="302">
        <v>3.48</v>
      </c>
    </row>
    <row r="48" spans="1:20" ht="17.25" thickBot="1">
      <c r="A48" s="74"/>
      <c r="B48" s="230">
        <f>C47-D47+G47-H47-F47+J47-K47-M47+O47+P47+Q47+R47</f>
        <v>1475356</v>
      </c>
      <c r="L48" s="116"/>
    </row>
    <row r="49" spans="1:20" ht="17.25" thickBot="1">
      <c r="A49" s="143" t="s">
        <v>387</v>
      </c>
      <c r="B49" s="74"/>
    </row>
    <row r="50" spans="1:20">
      <c r="A50" s="199" t="s">
        <v>289</v>
      </c>
      <c r="B50" s="200" t="s">
        <v>270</v>
      </c>
      <c r="C50" s="207" t="s">
        <v>271</v>
      </c>
      <c r="D50" s="207" t="s">
        <v>272</v>
      </c>
      <c r="E50" s="200" t="s">
        <v>273</v>
      </c>
      <c r="F50" s="203" t="s">
        <v>496</v>
      </c>
      <c r="G50" s="271" t="s">
        <v>518</v>
      </c>
      <c r="H50" s="203" t="s">
        <v>24</v>
      </c>
      <c r="I50" s="314" t="s">
        <v>519</v>
      </c>
      <c r="J50" s="203" t="s">
        <v>498</v>
      </c>
      <c r="K50" s="200" t="s">
        <v>520</v>
      </c>
      <c r="L50" s="271" t="s">
        <v>500</v>
      </c>
      <c r="M50" s="271" t="s">
        <v>501</v>
      </c>
      <c r="N50" s="271" t="s">
        <v>502</v>
      </c>
      <c r="O50" s="211" t="s">
        <v>521</v>
      </c>
      <c r="P50" s="200" t="s">
        <v>522</v>
      </c>
      <c r="Q50" s="200" t="s">
        <v>523</v>
      </c>
      <c r="T50" s="312" t="s">
        <v>524</v>
      </c>
    </row>
    <row r="51" spans="1:20" ht="17.25" thickBot="1">
      <c r="A51" s="299" t="s">
        <v>207</v>
      </c>
      <c r="B51" s="201"/>
      <c r="C51" s="209"/>
      <c r="D51" s="209"/>
      <c r="E51" s="201"/>
      <c r="F51" s="205"/>
      <c r="G51" s="272"/>
      <c r="H51" s="205"/>
      <c r="I51" s="315"/>
      <c r="J51" s="205"/>
      <c r="K51" s="201"/>
      <c r="L51" s="272"/>
      <c r="M51" s="272"/>
      <c r="N51" s="272"/>
      <c r="O51" s="213"/>
      <c r="P51" s="201"/>
      <c r="Q51" s="201"/>
      <c r="T51" s="313"/>
    </row>
    <row r="52" spans="1:20" ht="17.25" thickBot="1">
      <c r="A52" s="309">
        <v>2880</v>
      </c>
      <c r="B52" s="309" t="s">
        <v>287</v>
      </c>
      <c r="C52" s="310">
        <v>17522171</v>
      </c>
      <c r="D52" s="310">
        <v>14608005</v>
      </c>
      <c r="E52" s="310">
        <v>32130176</v>
      </c>
      <c r="F52" s="310">
        <v>7345743</v>
      </c>
      <c r="G52" s="310">
        <v>-185042</v>
      </c>
      <c r="H52" s="310">
        <v>17827875</v>
      </c>
      <c r="I52" s="310">
        <v>6771516</v>
      </c>
      <c r="J52" s="310">
        <v>690171</v>
      </c>
      <c r="K52" s="310">
        <v>6081345</v>
      </c>
      <c r="L52" s="311">
        <v>0</v>
      </c>
      <c r="M52" s="311">
        <v>0</v>
      </c>
      <c r="N52" s="311">
        <v>0</v>
      </c>
      <c r="O52" s="310">
        <v>6081345</v>
      </c>
      <c r="P52" s="310">
        <v>6081316</v>
      </c>
      <c r="Q52" s="311">
        <v>29</v>
      </c>
      <c r="T52" s="311">
        <v>0.92</v>
      </c>
    </row>
    <row r="53" spans="1:20" ht="17.25" thickBot="1">
      <c r="A53" s="74"/>
      <c r="B53" s="230">
        <f>C52+D52-F52+G52-H52-J52</f>
        <v>6081345</v>
      </c>
    </row>
    <row r="54" spans="1:20" ht="17.25" thickBot="1">
      <c r="A54" s="148" t="s">
        <v>388</v>
      </c>
      <c r="B54" s="74"/>
    </row>
    <row r="55" spans="1:20">
      <c r="A55" s="199" t="s">
        <v>289</v>
      </c>
      <c r="B55" s="200" t="s">
        <v>270</v>
      </c>
      <c r="C55" s="207" t="s">
        <v>211</v>
      </c>
      <c r="D55" s="203" t="s">
        <v>21</v>
      </c>
      <c r="E55" s="200" t="s">
        <v>510</v>
      </c>
      <c r="F55" s="203" t="s">
        <v>24</v>
      </c>
      <c r="G55" s="200" t="s">
        <v>525</v>
      </c>
      <c r="H55" s="207" t="s">
        <v>514</v>
      </c>
      <c r="I55" s="203" t="s">
        <v>515</v>
      </c>
      <c r="J55" s="200" t="s">
        <v>526</v>
      </c>
      <c r="K55" s="203" t="s">
        <v>527</v>
      </c>
      <c r="L55" s="200" t="s">
        <v>528</v>
      </c>
      <c r="M55" s="271" t="s">
        <v>279</v>
      </c>
      <c r="N55" s="271" t="s">
        <v>506</v>
      </c>
      <c r="O55" s="271" t="s">
        <v>529</v>
      </c>
      <c r="P55" s="211" t="s">
        <v>377</v>
      </c>
      <c r="Q55" s="200" t="s">
        <v>530</v>
      </c>
      <c r="T55" s="312" t="s">
        <v>509</v>
      </c>
    </row>
    <row r="56" spans="1:20" ht="17.25" thickBot="1">
      <c r="A56" s="299" t="s">
        <v>207</v>
      </c>
      <c r="B56" s="201"/>
      <c r="C56" s="209"/>
      <c r="D56" s="205"/>
      <c r="E56" s="201"/>
      <c r="F56" s="205"/>
      <c r="G56" s="201"/>
      <c r="H56" s="209"/>
      <c r="I56" s="205"/>
      <c r="J56" s="201"/>
      <c r="K56" s="205"/>
      <c r="L56" s="201"/>
      <c r="M56" s="272"/>
      <c r="N56" s="272"/>
      <c r="O56" s="272"/>
      <c r="P56" s="213"/>
      <c r="Q56" s="201"/>
      <c r="T56" s="313"/>
    </row>
    <row r="57" spans="1:20" ht="17.25" thickBot="1">
      <c r="A57" s="300">
        <v>2816</v>
      </c>
      <c r="B57" s="300" t="s">
        <v>399</v>
      </c>
      <c r="C57" s="301">
        <v>14133649</v>
      </c>
      <c r="D57" s="301">
        <v>13337317</v>
      </c>
      <c r="E57" s="301">
        <v>796332</v>
      </c>
      <c r="F57" s="301">
        <v>1378508</v>
      </c>
      <c r="G57" s="301">
        <v>-582176</v>
      </c>
      <c r="H57" s="301">
        <v>12454</v>
      </c>
      <c r="I57" s="302">
        <v>380</v>
      </c>
      <c r="J57" s="301">
        <v>-570102</v>
      </c>
      <c r="K57" s="301">
        <v>13883</v>
      </c>
      <c r="L57" s="301">
        <v>-583985</v>
      </c>
      <c r="M57" s="302">
        <v>0</v>
      </c>
      <c r="N57" s="302">
        <v>0</v>
      </c>
      <c r="O57" s="302">
        <v>0</v>
      </c>
      <c r="P57" s="301">
        <v>-583985</v>
      </c>
      <c r="Q57" s="302">
        <v>0</v>
      </c>
      <c r="T57" s="302">
        <v>-2.31</v>
      </c>
    </row>
    <row r="58" spans="1:20">
      <c r="A58" s="74"/>
      <c r="B58" s="230">
        <f>C57-D57-F57+H57-I57-K57</f>
        <v>-583985</v>
      </c>
    </row>
  </sheetData>
  <mergeCells count="209">
    <mergeCell ref="O55:O56"/>
    <mergeCell ref="P55:P56"/>
    <mergeCell ref="Q55:Q56"/>
    <mergeCell ref="T55:T56"/>
    <mergeCell ref="F55:F56"/>
    <mergeCell ref="G55:G56"/>
    <mergeCell ref="H55:H56"/>
    <mergeCell ref="I55:I56"/>
    <mergeCell ref="J55:J56"/>
    <mergeCell ref="K55:K56"/>
    <mergeCell ref="L55:L56"/>
    <mergeCell ref="M55:M56"/>
    <mergeCell ref="N55:N56"/>
    <mergeCell ref="O45:O46"/>
    <mergeCell ref="P45:P46"/>
    <mergeCell ref="Q45:Q46"/>
    <mergeCell ref="R45:R46"/>
    <mergeCell ref="S45:S46"/>
    <mergeCell ref="T45:T46"/>
    <mergeCell ref="C50:C51"/>
    <mergeCell ref="D50:D51"/>
    <mergeCell ref="E50:E51"/>
    <mergeCell ref="F50:F51"/>
    <mergeCell ref="G50:G51"/>
    <mergeCell ref="H50:H51"/>
    <mergeCell ref="I50:I51"/>
    <mergeCell ref="J50:J51"/>
    <mergeCell ref="K50:K51"/>
    <mergeCell ref="L50:L51"/>
    <mergeCell ref="M50:M51"/>
    <mergeCell ref="N50:N51"/>
    <mergeCell ref="O50:O51"/>
    <mergeCell ref="P50:P51"/>
    <mergeCell ref="Q50:Q51"/>
    <mergeCell ref="T50:T51"/>
    <mergeCell ref="F45:F46"/>
    <mergeCell ref="G45:G46"/>
    <mergeCell ref="H45:H46"/>
    <mergeCell ref="I45:I46"/>
    <mergeCell ref="J45:J46"/>
    <mergeCell ref="K45:K46"/>
    <mergeCell ref="L45:L46"/>
    <mergeCell ref="M45:M46"/>
    <mergeCell ref="N45:N46"/>
    <mergeCell ref="T35:T36"/>
    <mergeCell ref="C40:C41"/>
    <mergeCell ref="D40:D41"/>
    <mergeCell ref="E40:E41"/>
    <mergeCell ref="F40:F41"/>
    <mergeCell ref="G40:G41"/>
    <mergeCell ref="H40:H41"/>
    <mergeCell ref="I40:I41"/>
    <mergeCell ref="J40:J41"/>
    <mergeCell ref="T40:T41"/>
    <mergeCell ref="F35:F36"/>
    <mergeCell ref="G35:G36"/>
    <mergeCell ref="H35:H36"/>
    <mergeCell ref="I35:I36"/>
    <mergeCell ref="J35:J36"/>
    <mergeCell ref="K35:K36"/>
    <mergeCell ref="L35:L36"/>
    <mergeCell ref="M35:M36"/>
    <mergeCell ref="N35:N36"/>
    <mergeCell ref="B35:B36"/>
    <mergeCell ref="B40:B41"/>
    <mergeCell ref="B45:B46"/>
    <mergeCell ref="B50:B51"/>
    <mergeCell ref="B55:B56"/>
    <mergeCell ref="C35:C36"/>
    <mergeCell ref="D35:D36"/>
    <mergeCell ref="E35:E36"/>
    <mergeCell ref="C45:C46"/>
    <mergeCell ref="D45:D46"/>
    <mergeCell ref="E45:E46"/>
    <mergeCell ref="C55:C56"/>
    <mergeCell ref="D55:D56"/>
    <mergeCell ref="E55:E56"/>
    <mergeCell ref="B2:B3"/>
    <mergeCell ref="C2:C3"/>
    <mergeCell ref="D2:D3"/>
    <mergeCell ref="F2:F3"/>
    <mergeCell ref="G2:G3"/>
    <mergeCell ref="K2:K3"/>
    <mergeCell ref="W2:W3"/>
    <mergeCell ref="X2:X3"/>
    <mergeCell ref="Y2:Y3"/>
    <mergeCell ref="Z2:Z3"/>
    <mergeCell ref="AA2:AA3"/>
    <mergeCell ref="AB2:AB3"/>
    <mergeCell ref="AC2:AC3"/>
    <mergeCell ref="AD2:AD3"/>
    <mergeCell ref="Y7:Y8"/>
    <mergeCell ref="Z7:Z8"/>
    <mergeCell ref="AA7:AA8"/>
    <mergeCell ref="AB7:AB8"/>
    <mergeCell ref="AC7:AC8"/>
    <mergeCell ref="AD7:AD8"/>
    <mergeCell ref="B7:B8"/>
    <mergeCell ref="C7:C8"/>
    <mergeCell ref="D7:D8"/>
    <mergeCell ref="F7:F8"/>
    <mergeCell ref="G7:G8"/>
    <mergeCell ref="H7:H8"/>
    <mergeCell ref="K7:K8"/>
    <mergeCell ref="X7:X8"/>
    <mergeCell ref="O2:R7"/>
    <mergeCell ref="E7:E8"/>
    <mergeCell ref="I7:I8"/>
    <mergeCell ref="J7:J8"/>
    <mergeCell ref="L7:L8"/>
    <mergeCell ref="U7:U8"/>
    <mergeCell ref="V7:V8"/>
    <mergeCell ref="W7:W8"/>
    <mergeCell ref="E2:E3"/>
    <mergeCell ref="H2:H3"/>
    <mergeCell ref="I2:I3"/>
    <mergeCell ref="J2:J3"/>
    <mergeCell ref="L2:L3"/>
    <mergeCell ref="U2:U3"/>
    <mergeCell ref="V2:V3"/>
    <mergeCell ref="J12:J13"/>
    <mergeCell ref="K12:K13"/>
    <mergeCell ref="L12:L13"/>
    <mergeCell ref="M12:M13"/>
    <mergeCell ref="B12:B13"/>
    <mergeCell ref="C12:C13"/>
    <mergeCell ref="D12:D13"/>
    <mergeCell ref="E12:E13"/>
    <mergeCell ref="F12:F13"/>
    <mergeCell ref="G12:G13"/>
    <mergeCell ref="Z12:Z13"/>
    <mergeCell ref="AA12:AA13"/>
    <mergeCell ref="AB12:AB13"/>
    <mergeCell ref="AC12:AC13"/>
    <mergeCell ref="AD12:AD13"/>
    <mergeCell ref="B17:B18"/>
    <mergeCell ref="C17:C18"/>
    <mergeCell ref="D17:D18"/>
    <mergeCell ref="E17:E18"/>
    <mergeCell ref="F17:F18"/>
    <mergeCell ref="T12:T13"/>
    <mergeCell ref="U12:U13"/>
    <mergeCell ref="V12:V13"/>
    <mergeCell ref="W12:W13"/>
    <mergeCell ref="X12:X13"/>
    <mergeCell ref="Y12:Y13"/>
    <mergeCell ref="N12:N13"/>
    <mergeCell ref="O12:O13"/>
    <mergeCell ref="P12:P13"/>
    <mergeCell ref="Q12:Q13"/>
    <mergeCell ref="R12:R13"/>
    <mergeCell ref="S12:S13"/>
    <mergeCell ref="H12:H13"/>
    <mergeCell ref="I12:I13"/>
    <mergeCell ref="AA17:AA18"/>
    <mergeCell ref="AB17:AB18"/>
    <mergeCell ref="AC17:AC18"/>
    <mergeCell ref="AD17:AD18"/>
    <mergeCell ref="B22:B23"/>
    <mergeCell ref="C22:C23"/>
    <mergeCell ref="D22:D23"/>
    <mergeCell ref="E22:E23"/>
    <mergeCell ref="F22:F23"/>
    <mergeCell ref="G22:G23"/>
    <mergeCell ref="M17:M18"/>
    <mergeCell ref="V17:V18"/>
    <mergeCell ref="W17:W18"/>
    <mergeCell ref="X17:X18"/>
    <mergeCell ref="Y17:Y18"/>
    <mergeCell ref="Z17:Z18"/>
    <mergeCell ref="G17:G18"/>
    <mergeCell ref="H17:H18"/>
    <mergeCell ref="I17:I18"/>
    <mergeCell ref="J17:J18"/>
    <mergeCell ref="K17:K18"/>
    <mergeCell ref="L17:L18"/>
    <mergeCell ref="AA22:AA23"/>
    <mergeCell ref="AB22:AB23"/>
    <mergeCell ref="AC22:AC23"/>
    <mergeCell ref="AD22:AD23"/>
    <mergeCell ref="B27:B28"/>
    <mergeCell ref="C27:C28"/>
    <mergeCell ref="D27:D28"/>
    <mergeCell ref="E27:E28"/>
    <mergeCell ref="F27:F28"/>
    <mergeCell ref="G27:G28"/>
    <mergeCell ref="U22:U23"/>
    <mergeCell ref="V22:V23"/>
    <mergeCell ref="W22:W23"/>
    <mergeCell ref="X22:X23"/>
    <mergeCell ref="Y22:Y23"/>
    <mergeCell ref="Z22:Z23"/>
    <mergeCell ref="H22:H23"/>
    <mergeCell ref="I22:I23"/>
    <mergeCell ref="J22:J23"/>
    <mergeCell ref="K22:K23"/>
    <mergeCell ref="L22:L23"/>
    <mergeCell ref="M22:M23"/>
    <mergeCell ref="Z27:Z28"/>
    <mergeCell ref="AA27:AA28"/>
    <mergeCell ref="AB27:AB28"/>
    <mergeCell ref="AC27:AC28"/>
    <mergeCell ref="AD27:AD28"/>
    <mergeCell ref="H27:H28"/>
    <mergeCell ref="I27:I28"/>
    <mergeCell ref="V27:V28"/>
    <mergeCell ref="W27:W28"/>
    <mergeCell ref="X27:X28"/>
    <mergeCell ref="Y27:Y28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Y31"/>
  <sheetViews>
    <sheetView workbookViewId="0">
      <pane xSplit="1" topLeftCell="B1" activePane="topRight" state="frozen"/>
      <selection pane="topRight" activeCell="K1" sqref="K1:P1"/>
    </sheetView>
  </sheetViews>
  <sheetFormatPr defaultRowHeight="16.5"/>
  <cols>
    <col min="1" max="1" width="9.5" bestFit="1" customWidth="1"/>
    <col min="2" max="2" width="9" style="74"/>
    <col min="3" max="3" width="11.625" customWidth="1"/>
    <col min="4" max="4" width="15.625" customWidth="1"/>
    <col min="5" max="5" width="6.375" style="74" customWidth="1"/>
    <col min="6" max="6" width="32" customWidth="1"/>
    <col min="7" max="7" width="19.375" customWidth="1"/>
    <col min="9" max="9" width="19" customWidth="1"/>
    <col min="10" max="10" width="5.375" style="74" customWidth="1"/>
    <col min="11" max="11" width="22.5" style="74" customWidth="1"/>
    <col min="12" max="12" width="23.25" style="74" customWidth="1"/>
    <col min="13" max="13" width="19" style="74" customWidth="1"/>
    <col min="14" max="15" width="19.25" style="74" bestFit="1" customWidth="1"/>
    <col min="16" max="16" width="13" style="74" bestFit="1" customWidth="1"/>
    <col min="17" max="17" width="7" style="74" customWidth="1"/>
    <col min="18" max="18" width="19.625" customWidth="1"/>
    <col min="42" max="207" width="9" style="117"/>
  </cols>
  <sheetData>
    <row r="1" spans="1:207" s="74" customFormat="1" ht="17.25" thickBot="1">
      <c r="A1" s="195" t="s">
        <v>401</v>
      </c>
      <c r="B1" s="174"/>
      <c r="C1" s="196" t="s">
        <v>404</v>
      </c>
      <c r="D1" s="197"/>
      <c r="E1" s="174"/>
      <c r="F1" s="196" t="s">
        <v>405</v>
      </c>
      <c r="G1" s="198"/>
      <c r="H1" s="198"/>
      <c r="I1" s="197"/>
      <c r="J1" s="174"/>
      <c r="K1" s="252" t="s">
        <v>480</v>
      </c>
      <c r="L1" s="253"/>
      <c r="M1" s="253"/>
      <c r="N1" s="253"/>
      <c r="O1" s="253"/>
      <c r="P1" s="254"/>
      <c r="Q1" s="174"/>
      <c r="R1" s="195" t="s">
        <v>406</v>
      </c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7"/>
      <c r="DL1" s="117"/>
      <c r="DM1" s="117"/>
      <c r="DN1" s="117"/>
      <c r="DO1" s="117"/>
      <c r="DP1" s="117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7"/>
      <c r="FD1" s="117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7"/>
      <c r="GV1" s="117"/>
      <c r="GW1" s="117"/>
      <c r="GX1" s="117"/>
      <c r="GY1" s="117"/>
    </row>
    <row r="2" spans="1:207" ht="17.25" thickBot="1"/>
    <row r="3" spans="1:207">
      <c r="A3" s="191" t="s">
        <v>361</v>
      </c>
      <c r="B3" s="117"/>
      <c r="C3" s="177" t="s">
        <v>271</v>
      </c>
      <c r="D3" s="177" t="s">
        <v>362</v>
      </c>
      <c r="E3" s="117"/>
      <c r="F3" s="178" t="s">
        <v>274</v>
      </c>
      <c r="G3" s="178" t="s">
        <v>24</v>
      </c>
      <c r="H3" s="179"/>
      <c r="I3" s="178" t="s">
        <v>364</v>
      </c>
      <c r="J3" s="251"/>
      <c r="K3" s="255"/>
      <c r="L3" s="255"/>
      <c r="M3" s="255"/>
      <c r="N3" s="157"/>
      <c r="O3" s="157"/>
      <c r="P3" s="177" t="s">
        <v>279</v>
      </c>
      <c r="Q3" s="117"/>
      <c r="R3" s="177" t="s">
        <v>280</v>
      </c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</row>
    <row r="4" spans="1:207" ht="17.25" thickBot="1">
      <c r="A4" s="192"/>
      <c r="B4" s="117"/>
      <c r="C4" s="180"/>
      <c r="D4" s="180"/>
      <c r="E4" s="117"/>
      <c r="F4" s="181"/>
      <c r="G4" s="181"/>
      <c r="H4" s="182"/>
      <c r="I4" s="181"/>
      <c r="J4" s="251"/>
      <c r="K4" s="255"/>
      <c r="L4" s="255"/>
      <c r="M4" s="255"/>
      <c r="N4" s="157"/>
      <c r="O4" s="157"/>
      <c r="P4" s="180"/>
      <c r="Q4" s="117"/>
      <c r="R4" s="180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</row>
    <row r="5" spans="1:207" s="117" customFormat="1" ht="17.25" thickBot="1">
      <c r="C5" s="157"/>
      <c r="D5" s="157"/>
      <c r="F5" s="162"/>
      <c r="G5" s="162"/>
      <c r="H5" s="162"/>
      <c r="I5" s="162"/>
      <c r="J5" s="162"/>
      <c r="K5" s="255"/>
      <c r="L5" s="256"/>
      <c r="M5" s="256"/>
      <c r="N5" s="157"/>
      <c r="O5" s="157"/>
      <c r="P5" s="157"/>
      <c r="R5" s="157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</row>
    <row r="6" spans="1:207" s="146" customFormat="1">
      <c r="A6" s="183" t="s">
        <v>380</v>
      </c>
      <c r="B6" s="117"/>
      <c r="C6" s="177" t="s">
        <v>373</v>
      </c>
      <c r="D6" s="177" t="s">
        <v>375</v>
      </c>
      <c r="E6" s="117"/>
      <c r="F6" s="178" t="s">
        <v>374</v>
      </c>
      <c r="G6" s="178"/>
      <c r="H6" s="179"/>
      <c r="I6" s="178" t="s">
        <v>364</v>
      </c>
      <c r="J6" s="251"/>
      <c r="K6" s="255"/>
      <c r="L6" s="255"/>
      <c r="M6" s="255"/>
      <c r="N6" s="157"/>
      <c r="O6" s="157"/>
      <c r="P6" s="177" t="s">
        <v>461</v>
      </c>
      <c r="Q6" s="117"/>
      <c r="R6" s="177" t="s">
        <v>377</v>
      </c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4"/>
      <c r="AO6" s="74"/>
      <c r="AP6" s="117"/>
      <c r="AQ6" s="117"/>
      <c r="AR6" s="117"/>
      <c r="AS6" s="117"/>
      <c r="AT6" s="117"/>
      <c r="AU6" s="117"/>
      <c r="AV6" s="117"/>
      <c r="AW6" s="117"/>
      <c r="AX6" s="117"/>
      <c r="AY6" s="117"/>
      <c r="AZ6" s="117"/>
      <c r="BA6" s="117"/>
      <c r="BB6" s="117"/>
      <c r="BC6" s="117"/>
      <c r="BD6" s="117"/>
      <c r="BE6" s="117"/>
      <c r="BF6" s="117"/>
      <c r="BG6" s="117"/>
      <c r="BH6" s="117"/>
      <c r="BI6" s="117"/>
      <c r="BJ6" s="117"/>
      <c r="BK6" s="117"/>
      <c r="BL6" s="117"/>
      <c r="BM6" s="117"/>
      <c r="BN6" s="117"/>
      <c r="BO6" s="117"/>
      <c r="BP6" s="117"/>
      <c r="BQ6" s="117"/>
      <c r="BR6" s="117"/>
      <c r="BS6" s="117"/>
      <c r="BT6" s="117"/>
      <c r="BU6" s="117"/>
      <c r="BV6" s="117"/>
      <c r="BW6" s="117"/>
      <c r="BX6" s="117"/>
      <c r="BY6" s="117"/>
      <c r="BZ6" s="117"/>
      <c r="CA6" s="117"/>
      <c r="CB6" s="117"/>
      <c r="CC6" s="117"/>
      <c r="CD6" s="117"/>
      <c r="CE6" s="117"/>
      <c r="CF6" s="117"/>
      <c r="CG6" s="117"/>
      <c r="CH6" s="117"/>
      <c r="CI6" s="117"/>
      <c r="CJ6" s="117"/>
      <c r="CK6" s="117"/>
      <c r="CL6" s="117"/>
      <c r="CM6" s="117"/>
      <c r="CN6" s="117"/>
      <c r="CO6" s="117"/>
      <c r="CP6" s="117"/>
      <c r="CQ6" s="117"/>
      <c r="CR6" s="117"/>
      <c r="CS6" s="117"/>
      <c r="CT6" s="117"/>
      <c r="CU6" s="117"/>
      <c r="CV6" s="117"/>
      <c r="CW6" s="117"/>
      <c r="CX6" s="117"/>
      <c r="CY6" s="117"/>
      <c r="CZ6" s="117"/>
      <c r="DA6" s="117"/>
      <c r="DB6" s="117"/>
      <c r="DC6" s="117"/>
      <c r="DD6" s="117"/>
      <c r="DE6" s="117"/>
      <c r="DF6" s="117"/>
      <c r="DG6" s="117"/>
      <c r="DH6" s="117"/>
      <c r="DI6" s="117"/>
      <c r="DJ6" s="117"/>
      <c r="DK6" s="117"/>
      <c r="DL6" s="117"/>
      <c r="DM6" s="117"/>
      <c r="DN6" s="117"/>
      <c r="DO6" s="117"/>
      <c r="DP6" s="117"/>
      <c r="DQ6" s="117"/>
      <c r="DR6" s="117"/>
      <c r="DS6" s="117"/>
      <c r="DT6" s="117"/>
      <c r="DU6" s="117"/>
      <c r="DV6" s="117"/>
      <c r="DW6" s="117"/>
      <c r="DX6" s="117"/>
      <c r="DY6" s="117"/>
      <c r="DZ6" s="117"/>
      <c r="EA6" s="117"/>
      <c r="EB6" s="117"/>
      <c r="EC6" s="117"/>
      <c r="ED6" s="117"/>
      <c r="EE6" s="117"/>
      <c r="EF6" s="117"/>
      <c r="EG6" s="117"/>
      <c r="EH6" s="117"/>
      <c r="EI6" s="117"/>
      <c r="EJ6" s="117"/>
      <c r="EK6" s="117"/>
      <c r="EL6" s="117"/>
      <c r="EM6" s="117"/>
      <c r="EN6" s="117"/>
      <c r="EO6" s="117"/>
      <c r="EP6" s="117"/>
      <c r="EQ6" s="117"/>
      <c r="ER6" s="117"/>
      <c r="ES6" s="117"/>
      <c r="ET6" s="117"/>
      <c r="EU6" s="117"/>
      <c r="EV6" s="117"/>
      <c r="EW6" s="117"/>
      <c r="EX6" s="117"/>
      <c r="EY6" s="117"/>
      <c r="EZ6" s="117"/>
      <c r="FA6" s="117"/>
      <c r="FB6" s="117"/>
      <c r="FC6" s="117"/>
      <c r="FD6" s="117"/>
      <c r="FE6" s="117"/>
      <c r="FF6" s="117"/>
      <c r="FG6" s="117"/>
      <c r="FH6" s="117"/>
      <c r="FI6" s="117"/>
      <c r="FJ6" s="117"/>
      <c r="FK6" s="117"/>
      <c r="FL6" s="117"/>
      <c r="FM6" s="117"/>
      <c r="FN6" s="117"/>
      <c r="FO6" s="117"/>
      <c r="FP6" s="117"/>
      <c r="FQ6" s="117"/>
      <c r="FR6" s="117"/>
      <c r="FS6" s="117"/>
      <c r="FT6" s="117"/>
      <c r="FU6" s="117"/>
      <c r="FV6" s="117"/>
      <c r="FW6" s="117"/>
      <c r="FX6" s="117"/>
      <c r="FY6" s="117"/>
      <c r="FZ6" s="117"/>
      <c r="GA6" s="117"/>
      <c r="GB6" s="117"/>
      <c r="GC6" s="117"/>
      <c r="GD6" s="117"/>
      <c r="GE6" s="117"/>
      <c r="GF6" s="117"/>
      <c r="GG6" s="117"/>
      <c r="GH6" s="117"/>
      <c r="GI6" s="117"/>
      <c r="GJ6" s="117"/>
      <c r="GK6" s="117"/>
      <c r="GL6" s="117"/>
      <c r="GM6" s="117"/>
      <c r="GN6" s="117"/>
      <c r="GO6" s="117"/>
      <c r="GP6" s="117"/>
      <c r="GQ6" s="117"/>
      <c r="GR6" s="117"/>
      <c r="GS6" s="117"/>
      <c r="GT6" s="117"/>
      <c r="GU6" s="117"/>
      <c r="GV6" s="117"/>
      <c r="GW6" s="117"/>
      <c r="GX6" s="117"/>
      <c r="GY6" s="117"/>
    </row>
    <row r="7" spans="1:207" s="146" customFormat="1" ht="17.25" thickBot="1">
      <c r="A7" s="184"/>
      <c r="B7" s="117"/>
      <c r="C7" s="180"/>
      <c r="D7" s="180"/>
      <c r="E7" s="117"/>
      <c r="F7" s="181"/>
      <c r="G7" s="181"/>
      <c r="H7" s="182"/>
      <c r="I7" s="181"/>
      <c r="J7" s="251"/>
      <c r="K7" s="255"/>
      <c r="L7" s="255"/>
      <c r="M7" s="255"/>
      <c r="N7" s="157"/>
      <c r="O7" s="157"/>
      <c r="P7" s="180"/>
      <c r="Q7" s="117"/>
      <c r="R7" s="180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117"/>
      <c r="AQ7" s="117"/>
      <c r="AR7" s="117"/>
      <c r="AS7" s="117"/>
      <c r="AT7" s="117"/>
      <c r="AU7" s="117"/>
      <c r="AV7" s="117"/>
      <c r="AW7" s="117"/>
      <c r="AX7" s="117"/>
      <c r="AY7" s="117"/>
      <c r="AZ7" s="117"/>
      <c r="BA7" s="117"/>
      <c r="BB7" s="117"/>
      <c r="BC7" s="117"/>
      <c r="BD7" s="117"/>
      <c r="BE7" s="117"/>
      <c r="BF7" s="117"/>
      <c r="BG7" s="117"/>
      <c r="BH7" s="117"/>
      <c r="BI7" s="117"/>
      <c r="BJ7" s="117"/>
      <c r="BK7" s="117"/>
      <c r="BL7" s="117"/>
      <c r="BM7" s="117"/>
      <c r="BN7" s="117"/>
      <c r="BO7" s="117"/>
      <c r="BP7" s="117"/>
      <c r="BQ7" s="117"/>
      <c r="BR7" s="117"/>
      <c r="BS7" s="117"/>
      <c r="BT7" s="117"/>
      <c r="BU7" s="117"/>
      <c r="BV7" s="117"/>
      <c r="BW7" s="117"/>
      <c r="BX7" s="117"/>
      <c r="BY7" s="117"/>
      <c r="BZ7" s="117"/>
      <c r="CA7" s="117"/>
      <c r="CB7" s="117"/>
      <c r="CC7" s="117"/>
      <c r="CD7" s="117"/>
      <c r="CE7" s="117"/>
      <c r="CF7" s="117"/>
      <c r="CG7" s="117"/>
      <c r="CH7" s="117"/>
      <c r="CI7" s="117"/>
      <c r="CJ7" s="117"/>
      <c r="CK7" s="117"/>
      <c r="CL7" s="117"/>
      <c r="CM7" s="117"/>
      <c r="CN7" s="117"/>
      <c r="CO7" s="117"/>
      <c r="CP7" s="117"/>
      <c r="CQ7" s="117"/>
      <c r="CR7" s="117"/>
      <c r="CS7" s="117"/>
      <c r="CT7" s="117"/>
      <c r="CU7" s="117"/>
      <c r="CV7" s="117"/>
      <c r="CW7" s="117"/>
      <c r="CX7" s="117"/>
      <c r="CY7" s="117"/>
      <c r="CZ7" s="117"/>
      <c r="DA7" s="117"/>
      <c r="DB7" s="117"/>
      <c r="DC7" s="117"/>
      <c r="DD7" s="117"/>
      <c r="DE7" s="117"/>
      <c r="DF7" s="117"/>
      <c r="DG7" s="117"/>
      <c r="DH7" s="117"/>
      <c r="DI7" s="117"/>
      <c r="DJ7" s="117"/>
      <c r="DK7" s="117"/>
      <c r="DL7" s="117"/>
      <c r="DM7" s="117"/>
      <c r="DN7" s="117"/>
      <c r="DO7" s="117"/>
      <c r="DP7" s="117"/>
      <c r="DQ7" s="117"/>
      <c r="DR7" s="117"/>
      <c r="DS7" s="117"/>
      <c r="DT7" s="117"/>
      <c r="DU7" s="117"/>
      <c r="DV7" s="117"/>
      <c r="DW7" s="117"/>
      <c r="DX7" s="117"/>
      <c r="DY7" s="117"/>
      <c r="DZ7" s="117"/>
      <c r="EA7" s="117"/>
      <c r="EB7" s="117"/>
      <c r="EC7" s="117"/>
      <c r="ED7" s="117"/>
      <c r="EE7" s="117"/>
      <c r="EF7" s="117"/>
      <c r="EG7" s="117"/>
      <c r="EH7" s="117"/>
      <c r="EI7" s="117"/>
      <c r="EJ7" s="117"/>
      <c r="EK7" s="117"/>
      <c r="EL7" s="117"/>
      <c r="EM7" s="117"/>
      <c r="EN7" s="117"/>
      <c r="EO7" s="117"/>
      <c r="EP7" s="117"/>
      <c r="EQ7" s="117"/>
      <c r="ER7" s="117"/>
      <c r="ES7" s="117"/>
      <c r="ET7" s="117"/>
      <c r="EU7" s="117"/>
      <c r="EV7" s="117"/>
      <c r="EW7" s="117"/>
      <c r="EX7" s="117"/>
      <c r="EY7" s="117"/>
      <c r="EZ7" s="117"/>
      <c r="FA7" s="117"/>
      <c r="FB7" s="117"/>
      <c r="FC7" s="117"/>
      <c r="FD7" s="117"/>
      <c r="FE7" s="117"/>
      <c r="FF7" s="117"/>
      <c r="FG7" s="117"/>
      <c r="FH7" s="117"/>
      <c r="FI7" s="117"/>
      <c r="FJ7" s="117"/>
      <c r="FK7" s="117"/>
      <c r="FL7" s="117"/>
      <c r="FM7" s="117"/>
      <c r="FN7" s="117"/>
      <c r="FO7" s="117"/>
      <c r="FP7" s="117"/>
      <c r="FQ7" s="117"/>
      <c r="FR7" s="117"/>
      <c r="FS7" s="117"/>
      <c r="FT7" s="117"/>
      <c r="FU7" s="117"/>
      <c r="FV7" s="117"/>
      <c r="FW7" s="117"/>
      <c r="FX7" s="117"/>
      <c r="FY7" s="117"/>
      <c r="FZ7" s="117"/>
      <c r="GA7" s="117"/>
      <c r="GB7" s="117"/>
      <c r="GC7" s="117"/>
      <c r="GD7" s="117"/>
      <c r="GE7" s="117"/>
      <c r="GF7" s="117"/>
      <c r="GG7" s="117"/>
      <c r="GH7" s="117"/>
      <c r="GI7" s="117"/>
      <c r="GJ7" s="117"/>
      <c r="GK7" s="117"/>
      <c r="GL7" s="117"/>
      <c r="GM7" s="117"/>
      <c r="GN7" s="117"/>
      <c r="GO7" s="117"/>
      <c r="GP7" s="117"/>
      <c r="GQ7" s="117"/>
      <c r="GR7" s="117"/>
      <c r="GS7" s="117"/>
      <c r="GT7" s="117"/>
      <c r="GU7" s="117"/>
      <c r="GV7" s="117"/>
      <c r="GW7" s="117"/>
      <c r="GX7" s="117"/>
      <c r="GY7" s="117"/>
    </row>
    <row r="8" spans="1:207" s="74" customFormat="1" ht="17.25" thickBot="1">
      <c r="A8" s="117"/>
      <c r="B8" s="117"/>
      <c r="C8" s="157"/>
      <c r="D8" s="157"/>
      <c r="E8" s="117"/>
      <c r="F8" s="117"/>
      <c r="G8" s="117"/>
      <c r="H8" s="117"/>
      <c r="I8" s="117"/>
      <c r="J8" s="117"/>
      <c r="K8" s="157"/>
      <c r="L8" s="157"/>
      <c r="M8" s="157"/>
      <c r="N8" s="157"/>
      <c r="O8" s="157"/>
      <c r="P8" s="157"/>
      <c r="Q8" s="117"/>
      <c r="R8" s="157"/>
      <c r="AP8" s="117"/>
      <c r="AQ8" s="117"/>
      <c r="AR8" s="117"/>
      <c r="AS8" s="117"/>
      <c r="AT8" s="117"/>
      <c r="AU8" s="117"/>
      <c r="AV8" s="117"/>
      <c r="AW8" s="117"/>
      <c r="AX8" s="117"/>
      <c r="AY8" s="117"/>
      <c r="AZ8" s="117"/>
      <c r="BA8" s="117"/>
      <c r="BB8" s="117"/>
      <c r="BC8" s="117"/>
      <c r="BD8" s="117"/>
      <c r="BE8" s="117"/>
      <c r="BF8" s="117"/>
      <c r="BG8" s="117"/>
      <c r="BH8" s="117"/>
      <c r="BI8" s="117"/>
      <c r="BJ8" s="117"/>
      <c r="BK8" s="117"/>
      <c r="BL8" s="117"/>
      <c r="BM8" s="117"/>
      <c r="BN8" s="117"/>
      <c r="BO8" s="117"/>
      <c r="BP8" s="117"/>
      <c r="BQ8" s="117"/>
      <c r="BR8" s="117"/>
      <c r="BS8" s="117"/>
      <c r="BT8" s="117"/>
      <c r="BU8" s="117"/>
      <c r="BV8" s="117"/>
      <c r="BW8" s="117"/>
      <c r="BX8" s="117"/>
      <c r="BY8" s="117"/>
      <c r="BZ8" s="117"/>
      <c r="CA8" s="117"/>
      <c r="CB8" s="117"/>
      <c r="CC8" s="117"/>
      <c r="CD8" s="117"/>
      <c r="CE8" s="117"/>
      <c r="CF8" s="117"/>
      <c r="CG8" s="117"/>
      <c r="CH8" s="117"/>
      <c r="CI8" s="117"/>
      <c r="CJ8" s="117"/>
      <c r="CK8" s="117"/>
      <c r="CL8" s="117"/>
      <c r="CM8" s="117"/>
      <c r="CN8" s="117"/>
      <c r="CO8" s="117"/>
      <c r="CP8" s="117"/>
      <c r="CQ8" s="117"/>
      <c r="CR8" s="117"/>
      <c r="CS8" s="117"/>
      <c r="CT8" s="117"/>
      <c r="CU8" s="117"/>
      <c r="CV8" s="117"/>
      <c r="CW8" s="117"/>
      <c r="CX8" s="117"/>
      <c r="CY8" s="117"/>
      <c r="CZ8" s="117"/>
      <c r="DA8" s="117"/>
      <c r="DB8" s="117"/>
      <c r="DC8" s="117"/>
      <c r="DD8" s="117"/>
      <c r="DE8" s="117"/>
      <c r="DF8" s="117"/>
      <c r="DG8" s="117"/>
      <c r="DH8" s="117"/>
      <c r="DI8" s="117"/>
      <c r="DJ8" s="117"/>
      <c r="DK8" s="117"/>
      <c r="DL8" s="117"/>
      <c r="DM8" s="117"/>
      <c r="DN8" s="117"/>
      <c r="DO8" s="117"/>
      <c r="DP8" s="117"/>
      <c r="DQ8" s="117"/>
      <c r="DR8" s="117"/>
      <c r="DS8" s="117"/>
      <c r="DT8" s="117"/>
      <c r="DU8" s="117"/>
      <c r="DV8" s="117"/>
      <c r="DW8" s="117"/>
      <c r="DX8" s="117"/>
      <c r="DY8" s="117"/>
      <c r="DZ8" s="117"/>
      <c r="EA8" s="117"/>
      <c r="EB8" s="117"/>
      <c r="EC8" s="117"/>
      <c r="ED8" s="117"/>
      <c r="EE8" s="117"/>
      <c r="EF8" s="117"/>
      <c r="EG8" s="117"/>
      <c r="EH8" s="117"/>
      <c r="EI8" s="117"/>
      <c r="EJ8" s="117"/>
      <c r="EK8" s="117"/>
      <c r="EL8" s="117"/>
      <c r="EM8" s="117"/>
      <c r="EN8" s="117"/>
      <c r="EO8" s="117"/>
      <c r="EP8" s="117"/>
      <c r="EQ8" s="117"/>
      <c r="ER8" s="117"/>
      <c r="ES8" s="117"/>
      <c r="ET8" s="117"/>
      <c r="EU8" s="117"/>
      <c r="EV8" s="117"/>
      <c r="EW8" s="117"/>
      <c r="EX8" s="117"/>
      <c r="EY8" s="117"/>
      <c r="EZ8" s="117"/>
      <c r="FA8" s="117"/>
      <c r="FB8" s="117"/>
      <c r="FC8" s="117"/>
      <c r="FD8" s="117"/>
      <c r="FE8" s="117"/>
      <c r="FF8" s="117"/>
      <c r="FG8" s="117"/>
      <c r="FH8" s="117"/>
      <c r="FI8" s="117"/>
      <c r="FJ8" s="117"/>
      <c r="FK8" s="117"/>
      <c r="FL8" s="117"/>
      <c r="FM8" s="117"/>
      <c r="FN8" s="117"/>
      <c r="FO8" s="117"/>
      <c r="FP8" s="117"/>
      <c r="FQ8" s="117"/>
      <c r="FR8" s="117"/>
      <c r="FS8" s="117"/>
      <c r="FT8" s="117"/>
      <c r="FU8" s="117"/>
      <c r="FV8" s="117"/>
      <c r="FW8" s="117"/>
      <c r="FX8" s="117"/>
      <c r="FY8" s="117"/>
      <c r="FZ8" s="117"/>
      <c r="GA8" s="117"/>
      <c r="GB8" s="117"/>
      <c r="GC8" s="117"/>
      <c r="GD8" s="117"/>
      <c r="GE8" s="117"/>
      <c r="GF8" s="117"/>
      <c r="GG8" s="117"/>
      <c r="GH8" s="117"/>
      <c r="GI8" s="117"/>
      <c r="GJ8" s="117"/>
      <c r="GK8" s="117"/>
      <c r="GL8" s="117"/>
      <c r="GM8" s="117"/>
      <c r="GN8" s="117"/>
      <c r="GO8" s="117"/>
      <c r="GP8" s="117"/>
      <c r="GQ8" s="117"/>
      <c r="GR8" s="117"/>
      <c r="GS8" s="117"/>
      <c r="GT8" s="117"/>
      <c r="GU8" s="117"/>
      <c r="GV8" s="117"/>
      <c r="GW8" s="117"/>
      <c r="GX8" s="117"/>
      <c r="GY8" s="117"/>
    </row>
    <row r="9" spans="1:207" s="147" customFormat="1">
      <c r="A9" s="183" t="s">
        <v>386</v>
      </c>
      <c r="B9" s="117"/>
      <c r="C9" s="177" t="s">
        <v>211</v>
      </c>
      <c r="D9" s="177" t="s">
        <v>383</v>
      </c>
      <c r="E9" s="117"/>
      <c r="F9" s="178" t="s">
        <v>21</v>
      </c>
      <c r="G9" s="178" t="s">
        <v>24</v>
      </c>
      <c r="H9" s="185"/>
      <c r="I9" s="178" t="s">
        <v>364</v>
      </c>
      <c r="J9" s="251"/>
      <c r="K9" s="257" t="s">
        <v>472</v>
      </c>
      <c r="L9" s="177" t="s">
        <v>473</v>
      </c>
      <c r="M9" s="177" t="s">
        <v>474</v>
      </c>
      <c r="N9" s="177" t="s">
        <v>475</v>
      </c>
      <c r="O9" s="177" t="s">
        <v>471</v>
      </c>
      <c r="P9" s="177" t="s">
        <v>461</v>
      </c>
      <c r="Q9" s="117"/>
      <c r="R9" s="177" t="s">
        <v>377</v>
      </c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F9" s="117"/>
      <c r="BG9" s="117"/>
      <c r="BH9" s="117"/>
      <c r="BI9" s="117"/>
      <c r="BJ9" s="117"/>
      <c r="BK9" s="117"/>
      <c r="BL9" s="117"/>
      <c r="BM9" s="117"/>
      <c r="BN9" s="117"/>
      <c r="BO9" s="117"/>
      <c r="BP9" s="117"/>
      <c r="BQ9" s="117"/>
      <c r="BR9" s="117"/>
      <c r="BS9" s="117"/>
      <c r="BT9" s="117"/>
      <c r="BU9" s="117"/>
      <c r="BV9" s="117"/>
      <c r="BW9" s="117"/>
      <c r="BX9" s="117"/>
      <c r="BY9" s="117"/>
      <c r="BZ9" s="117"/>
      <c r="CA9" s="117"/>
      <c r="CB9" s="117"/>
      <c r="CC9" s="117"/>
      <c r="CD9" s="117"/>
      <c r="CE9" s="117"/>
      <c r="CF9" s="117"/>
      <c r="CG9" s="117"/>
      <c r="CH9" s="117"/>
      <c r="CI9" s="117"/>
      <c r="CJ9" s="117"/>
      <c r="CK9" s="117"/>
      <c r="CL9" s="117"/>
      <c r="CM9" s="117"/>
      <c r="CN9" s="117"/>
      <c r="CO9" s="117"/>
      <c r="CP9" s="117"/>
      <c r="CQ9" s="117"/>
      <c r="CR9" s="117"/>
      <c r="CS9" s="117"/>
      <c r="CT9" s="117"/>
      <c r="CU9" s="117"/>
      <c r="CV9" s="117"/>
      <c r="CW9" s="117"/>
      <c r="CX9" s="117"/>
      <c r="CY9" s="117"/>
      <c r="CZ9" s="117"/>
      <c r="DA9" s="117"/>
      <c r="DB9" s="117"/>
      <c r="DC9" s="117"/>
      <c r="DD9" s="117"/>
      <c r="DE9" s="117"/>
      <c r="DF9" s="117"/>
      <c r="DG9" s="117"/>
      <c r="DH9" s="117"/>
      <c r="DI9" s="117"/>
      <c r="DJ9" s="117"/>
      <c r="DK9" s="117"/>
      <c r="DL9" s="117"/>
      <c r="DM9" s="117"/>
      <c r="DN9" s="117"/>
      <c r="DO9" s="117"/>
      <c r="DP9" s="117"/>
      <c r="DQ9" s="117"/>
      <c r="DR9" s="117"/>
      <c r="DS9" s="117"/>
      <c r="DT9" s="117"/>
      <c r="DU9" s="117"/>
      <c r="DV9" s="117"/>
      <c r="DW9" s="117"/>
      <c r="DX9" s="117"/>
      <c r="DY9" s="117"/>
      <c r="DZ9" s="117"/>
      <c r="EA9" s="117"/>
      <c r="EB9" s="117"/>
      <c r="EC9" s="117"/>
      <c r="ED9" s="117"/>
      <c r="EE9" s="117"/>
      <c r="EF9" s="117"/>
      <c r="EG9" s="117"/>
      <c r="EH9" s="117"/>
      <c r="EI9" s="117"/>
      <c r="EJ9" s="117"/>
      <c r="EK9" s="117"/>
      <c r="EL9" s="117"/>
      <c r="EM9" s="117"/>
      <c r="EN9" s="117"/>
      <c r="EO9" s="117"/>
      <c r="EP9" s="117"/>
      <c r="EQ9" s="117"/>
      <c r="ER9" s="117"/>
      <c r="ES9" s="117"/>
      <c r="ET9" s="117"/>
      <c r="EU9" s="117"/>
      <c r="EV9" s="117"/>
      <c r="EW9" s="117"/>
      <c r="EX9" s="117"/>
      <c r="EY9" s="117"/>
      <c r="EZ9" s="117"/>
      <c r="FA9" s="117"/>
      <c r="FB9" s="117"/>
      <c r="FC9" s="117"/>
      <c r="FD9" s="117"/>
      <c r="FE9" s="117"/>
      <c r="FF9" s="117"/>
      <c r="FG9" s="117"/>
      <c r="FH9" s="117"/>
      <c r="FI9" s="117"/>
      <c r="FJ9" s="117"/>
      <c r="FK9" s="117"/>
      <c r="FL9" s="117"/>
      <c r="FM9" s="117"/>
      <c r="FN9" s="117"/>
      <c r="FO9" s="117"/>
      <c r="FP9" s="117"/>
      <c r="FQ9" s="117"/>
      <c r="FR9" s="117"/>
      <c r="FS9" s="117"/>
      <c r="FT9" s="117"/>
      <c r="FU9" s="117"/>
      <c r="FV9" s="117"/>
      <c r="FW9" s="117"/>
      <c r="FX9" s="117"/>
      <c r="FY9" s="117"/>
      <c r="FZ9" s="117"/>
      <c r="GA9" s="117"/>
      <c r="GB9" s="117"/>
      <c r="GC9" s="117"/>
      <c r="GD9" s="117"/>
      <c r="GE9" s="117"/>
      <c r="GF9" s="117"/>
      <c r="GG9" s="117"/>
      <c r="GH9" s="117"/>
      <c r="GI9" s="117"/>
      <c r="GJ9" s="117"/>
      <c r="GK9" s="117"/>
      <c r="GL9" s="117"/>
      <c r="GM9" s="117"/>
      <c r="GN9" s="117"/>
      <c r="GO9" s="117"/>
      <c r="GP9" s="117"/>
      <c r="GQ9" s="117"/>
      <c r="GR9" s="117"/>
      <c r="GS9" s="117"/>
      <c r="GT9" s="117"/>
      <c r="GU9" s="117"/>
      <c r="GV9" s="117"/>
      <c r="GW9" s="117"/>
      <c r="GX9" s="117"/>
      <c r="GY9" s="117"/>
    </row>
    <row r="10" spans="1:207" s="147" customFormat="1" ht="17.25" thickBot="1">
      <c r="A10" s="184"/>
      <c r="B10" s="117"/>
      <c r="C10" s="180"/>
      <c r="D10" s="180"/>
      <c r="E10" s="117"/>
      <c r="F10" s="181"/>
      <c r="G10" s="181"/>
      <c r="H10" s="186"/>
      <c r="I10" s="181"/>
      <c r="J10" s="251"/>
      <c r="K10" s="180"/>
      <c r="L10" s="180"/>
      <c r="M10" s="180"/>
      <c r="N10" s="180"/>
      <c r="O10" s="180"/>
      <c r="P10" s="180"/>
      <c r="Q10" s="117"/>
      <c r="R10" s="180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/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/>
      <c r="GH10" s="117"/>
      <c r="GI10" s="117"/>
      <c r="GJ10" s="117"/>
      <c r="GK10" s="117"/>
      <c r="GL10" s="117"/>
      <c r="GM10" s="117"/>
      <c r="GN10" s="117"/>
      <c r="GO10" s="117"/>
      <c r="GP10" s="117"/>
      <c r="GQ10" s="117"/>
      <c r="GR10" s="117"/>
      <c r="GS10" s="117"/>
      <c r="GT10" s="117"/>
      <c r="GU10" s="117"/>
      <c r="GV10" s="117"/>
      <c r="GW10" s="117"/>
      <c r="GX10" s="117"/>
      <c r="GY10" s="117"/>
    </row>
    <row r="11" spans="1:207" s="74" customFormat="1" ht="17.25" thickBot="1">
      <c r="A11" s="117"/>
      <c r="B11" s="117"/>
      <c r="C11" s="157"/>
      <c r="D11" s="157"/>
      <c r="E11" s="117"/>
      <c r="F11" s="162"/>
      <c r="G11" s="162"/>
      <c r="H11" s="162"/>
      <c r="I11" s="162"/>
      <c r="J11" s="162"/>
      <c r="K11" s="256"/>
      <c r="L11" s="256"/>
      <c r="M11" s="256"/>
      <c r="N11" s="157"/>
      <c r="O11" s="157"/>
      <c r="P11" s="157"/>
      <c r="Q11" s="117"/>
      <c r="R11" s="157"/>
      <c r="AP11" s="117"/>
      <c r="AQ11" s="117"/>
      <c r="AR11" s="117"/>
      <c r="AS11" s="117"/>
      <c r="AT11" s="117"/>
      <c r="AU11" s="117"/>
      <c r="AV11" s="117"/>
      <c r="AW11" s="117"/>
      <c r="AX11" s="117"/>
      <c r="AY11" s="117"/>
      <c r="AZ11" s="117"/>
      <c r="BA11" s="117"/>
      <c r="BB11" s="117"/>
      <c r="BC11" s="117"/>
      <c r="BD11" s="117"/>
      <c r="BE11" s="117"/>
      <c r="BF11" s="117"/>
      <c r="BG11" s="117"/>
      <c r="BH11" s="117"/>
      <c r="BI11" s="117"/>
      <c r="BJ11" s="117"/>
      <c r="BK11" s="117"/>
      <c r="BL11" s="117"/>
      <c r="BM11" s="117"/>
      <c r="BN11" s="117"/>
      <c r="BO11" s="117"/>
      <c r="BP11" s="117"/>
      <c r="BQ11" s="117"/>
      <c r="BR11" s="117"/>
      <c r="BS11" s="117"/>
      <c r="BT11" s="117"/>
      <c r="BU11" s="117"/>
      <c r="BV11" s="117"/>
      <c r="BW11" s="117"/>
      <c r="BX11" s="117"/>
      <c r="BY11" s="117"/>
      <c r="BZ11" s="117"/>
      <c r="CA11" s="117"/>
      <c r="CB11" s="117"/>
      <c r="CC11" s="117"/>
      <c r="CD11" s="117"/>
      <c r="CE11" s="117"/>
      <c r="CF11" s="117"/>
      <c r="CG11" s="117"/>
      <c r="CH11" s="117"/>
      <c r="CI11" s="117"/>
      <c r="CJ11" s="117"/>
      <c r="CK11" s="117"/>
      <c r="CL11" s="117"/>
      <c r="CM11" s="117"/>
      <c r="CN11" s="117"/>
      <c r="CO11" s="117"/>
      <c r="CP11" s="117"/>
      <c r="CQ11" s="117"/>
      <c r="CR11" s="117"/>
      <c r="CS11" s="117"/>
      <c r="CT11" s="117"/>
      <c r="CU11" s="117"/>
      <c r="CV11" s="117"/>
      <c r="CW11" s="117"/>
      <c r="CX11" s="117"/>
      <c r="CY11" s="117"/>
      <c r="CZ11" s="117"/>
      <c r="DA11" s="117"/>
      <c r="DB11" s="117"/>
      <c r="DC11" s="117"/>
      <c r="DD11" s="117"/>
      <c r="DE11" s="117"/>
      <c r="DF11" s="117"/>
      <c r="DG11" s="117"/>
      <c r="DH11" s="117"/>
      <c r="DI11" s="117"/>
      <c r="DJ11" s="117"/>
      <c r="DK11" s="117"/>
      <c r="DL11" s="117"/>
      <c r="DM11" s="117"/>
      <c r="DN11" s="117"/>
      <c r="DO11" s="117"/>
      <c r="DP11" s="117"/>
      <c r="DQ11" s="117"/>
      <c r="DR11" s="117"/>
      <c r="DS11" s="117"/>
      <c r="DT11" s="117"/>
      <c r="DU11" s="117"/>
      <c r="DV11" s="117"/>
      <c r="DW11" s="117"/>
      <c r="DX11" s="117"/>
      <c r="DY11" s="117"/>
      <c r="DZ11" s="117"/>
      <c r="EA11" s="117"/>
      <c r="EB11" s="117"/>
      <c r="EC11" s="117"/>
      <c r="ED11" s="117"/>
      <c r="EE11" s="117"/>
      <c r="EF11" s="117"/>
      <c r="EG11" s="117"/>
      <c r="EH11" s="117"/>
      <c r="EI11" s="117"/>
      <c r="EJ11" s="117"/>
      <c r="EK11" s="117"/>
      <c r="EL11" s="117"/>
      <c r="EM11" s="117"/>
      <c r="EN11" s="117"/>
      <c r="EO11" s="117"/>
      <c r="EP11" s="117"/>
      <c r="EQ11" s="117"/>
      <c r="ER11" s="117"/>
      <c r="ES11" s="117"/>
      <c r="ET11" s="117"/>
      <c r="EU11" s="117"/>
      <c r="EV11" s="117"/>
      <c r="EW11" s="117"/>
      <c r="EX11" s="117"/>
      <c r="EY11" s="117"/>
      <c r="EZ11" s="117"/>
      <c r="FA11" s="117"/>
      <c r="FB11" s="117"/>
      <c r="FC11" s="117"/>
      <c r="FD11" s="117"/>
      <c r="FE11" s="117"/>
      <c r="FF11" s="117"/>
      <c r="FG11" s="117"/>
      <c r="FH11" s="117"/>
      <c r="FI11" s="117"/>
      <c r="FJ11" s="117"/>
      <c r="FK11" s="117"/>
      <c r="FL11" s="117"/>
      <c r="FM11" s="117"/>
      <c r="FN11" s="117"/>
      <c r="FO11" s="117"/>
      <c r="FP11" s="117"/>
      <c r="FQ11" s="117"/>
      <c r="FR11" s="117"/>
      <c r="FS11" s="117"/>
      <c r="FT11" s="117"/>
      <c r="FU11" s="117"/>
      <c r="FV11" s="117"/>
      <c r="FW11" s="117"/>
      <c r="FX11" s="117"/>
      <c r="FY11" s="117"/>
      <c r="FZ11" s="117"/>
      <c r="GA11" s="117"/>
      <c r="GB11" s="117"/>
      <c r="GC11" s="117"/>
      <c r="GD11" s="117"/>
      <c r="GE11" s="117"/>
      <c r="GF11" s="117"/>
      <c r="GG11" s="117"/>
      <c r="GH11" s="117"/>
      <c r="GI11" s="117"/>
      <c r="GJ11" s="117"/>
      <c r="GK11" s="117"/>
      <c r="GL11" s="117"/>
      <c r="GM11" s="117"/>
      <c r="GN11" s="117"/>
      <c r="GO11" s="117"/>
      <c r="GP11" s="117"/>
      <c r="GQ11" s="117"/>
      <c r="GR11" s="117"/>
      <c r="GS11" s="117"/>
      <c r="GT11" s="117"/>
      <c r="GU11" s="117"/>
      <c r="GV11" s="117"/>
      <c r="GW11" s="117"/>
      <c r="GX11" s="117"/>
      <c r="GY11" s="117"/>
    </row>
    <row r="12" spans="1:207" s="144" customFormat="1">
      <c r="A12" s="183" t="s">
        <v>387</v>
      </c>
      <c r="B12" s="117"/>
      <c r="C12" s="177" t="s">
        <v>271</v>
      </c>
      <c r="D12" s="177" t="s">
        <v>272</v>
      </c>
      <c r="E12" s="117"/>
      <c r="F12" s="178" t="s">
        <v>274</v>
      </c>
      <c r="G12" s="178" t="s">
        <v>275</v>
      </c>
      <c r="H12" s="178" t="s">
        <v>24</v>
      </c>
      <c r="I12" s="178" t="s">
        <v>277</v>
      </c>
      <c r="J12" s="251"/>
      <c r="K12" s="255"/>
      <c r="L12" s="255"/>
      <c r="M12" s="255"/>
      <c r="N12" s="157"/>
      <c r="O12" s="157"/>
      <c r="P12" s="177" t="s">
        <v>279</v>
      </c>
      <c r="Q12" s="117"/>
      <c r="R12" s="177" t="s">
        <v>280</v>
      </c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117"/>
      <c r="AQ12" s="117"/>
      <c r="AR12" s="117"/>
      <c r="AS12" s="117"/>
      <c r="AT12" s="117"/>
      <c r="AU12" s="117"/>
      <c r="AV12" s="117"/>
      <c r="AW12" s="117"/>
      <c r="AX12" s="117"/>
      <c r="AY12" s="117"/>
      <c r="AZ12" s="117"/>
      <c r="BA12" s="117"/>
      <c r="BB12" s="117"/>
      <c r="BC12" s="117"/>
      <c r="BD12" s="117"/>
      <c r="BE12" s="117"/>
      <c r="BF12" s="117"/>
      <c r="BG12" s="117"/>
      <c r="BH12" s="117"/>
      <c r="BI12" s="117"/>
      <c r="BJ12" s="117"/>
      <c r="BK12" s="117"/>
      <c r="BL12" s="117"/>
      <c r="BM12" s="117"/>
      <c r="BN12" s="117"/>
      <c r="BO12" s="117"/>
      <c r="BP12" s="117"/>
      <c r="BQ12" s="117"/>
      <c r="BR12" s="117"/>
      <c r="BS12" s="117"/>
      <c r="BT12" s="117"/>
      <c r="BU12" s="117"/>
      <c r="BV12" s="117"/>
      <c r="BW12" s="117"/>
      <c r="BX12" s="117"/>
      <c r="BY12" s="117"/>
      <c r="BZ12" s="117"/>
      <c r="CA12" s="117"/>
      <c r="CB12" s="117"/>
      <c r="CC12" s="117"/>
      <c r="CD12" s="117"/>
      <c r="CE12" s="117"/>
      <c r="CF12" s="117"/>
      <c r="CG12" s="117"/>
      <c r="CH12" s="117"/>
      <c r="CI12" s="117"/>
      <c r="CJ12" s="117"/>
      <c r="CK12" s="117"/>
      <c r="CL12" s="117"/>
      <c r="CM12" s="117"/>
      <c r="CN12" s="117"/>
      <c r="CO12" s="117"/>
      <c r="CP12" s="117"/>
      <c r="CQ12" s="117"/>
      <c r="CR12" s="117"/>
      <c r="CS12" s="117"/>
      <c r="CT12" s="117"/>
      <c r="CU12" s="117"/>
      <c r="CV12" s="117"/>
      <c r="CW12" s="117"/>
      <c r="CX12" s="117"/>
      <c r="CY12" s="117"/>
      <c r="CZ12" s="117"/>
      <c r="DA12" s="117"/>
      <c r="DB12" s="117"/>
      <c r="DC12" s="117"/>
      <c r="DD12" s="117"/>
      <c r="DE12" s="117"/>
      <c r="DF12" s="117"/>
      <c r="DG12" s="117"/>
      <c r="DH12" s="117"/>
      <c r="DI12" s="117"/>
      <c r="DJ12" s="117"/>
      <c r="DK12" s="117"/>
      <c r="DL12" s="117"/>
      <c r="DM12" s="117"/>
      <c r="DN12" s="117"/>
      <c r="DO12" s="117"/>
      <c r="DP12" s="117"/>
      <c r="DQ12" s="117"/>
      <c r="DR12" s="117"/>
      <c r="DS12" s="117"/>
      <c r="DT12" s="117"/>
      <c r="DU12" s="117"/>
      <c r="DV12" s="117"/>
      <c r="DW12" s="117"/>
      <c r="DX12" s="117"/>
      <c r="DY12" s="117"/>
      <c r="DZ12" s="117"/>
      <c r="EA12" s="117"/>
      <c r="EB12" s="117"/>
      <c r="EC12" s="117"/>
      <c r="ED12" s="117"/>
      <c r="EE12" s="117"/>
      <c r="EF12" s="117"/>
      <c r="EG12" s="117"/>
      <c r="EH12" s="117"/>
      <c r="EI12" s="117"/>
      <c r="EJ12" s="117"/>
      <c r="EK12" s="117"/>
      <c r="EL12" s="117"/>
      <c r="EM12" s="117"/>
      <c r="EN12" s="117"/>
      <c r="EO12" s="117"/>
      <c r="EP12" s="117"/>
      <c r="EQ12" s="117"/>
      <c r="ER12" s="117"/>
      <c r="ES12" s="117"/>
      <c r="ET12" s="117"/>
      <c r="EU12" s="117"/>
      <c r="EV12" s="117"/>
      <c r="EW12" s="117"/>
      <c r="EX12" s="117"/>
      <c r="EY12" s="117"/>
      <c r="EZ12" s="117"/>
      <c r="FA12" s="117"/>
      <c r="FB12" s="117"/>
      <c r="FC12" s="117"/>
      <c r="FD12" s="117"/>
      <c r="FE12" s="117"/>
      <c r="FF12" s="117"/>
      <c r="FG12" s="117"/>
      <c r="FH12" s="117"/>
      <c r="FI12" s="117"/>
      <c r="FJ12" s="117"/>
      <c r="FK12" s="117"/>
      <c r="FL12" s="117"/>
      <c r="FM12" s="117"/>
      <c r="FN12" s="117"/>
      <c r="FO12" s="117"/>
      <c r="FP12" s="117"/>
      <c r="FQ12" s="117"/>
      <c r="FR12" s="117"/>
      <c r="FS12" s="117"/>
      <c r="FT12" s="117"/>
      <c r="FU12" s="117"/>
      <c r="FV12" s="117"/>
      <c r="FW12" s="117"/>
      <c r="FX12" s="117"/>
      <c r="FY12" s="117"/>
      <c r="FZ12" s="117"/>
      <c r="GA12" s="117"/>
      <c r="GB12" s="117"/>
      <c r="GC12" s="117"/>
      <c r="GD12" s="117"/>
      <c r="GE12" s="117"/>
      <c r="GF12" s="117"/>
      <c r="GG12" s="117"/>
      <c r="GH12" s="117"/>
      <c r="GI12" s="117"/>
      <c r="GJ12" s="117"/>
      <c r="GK12" s="117"/>
      <c r="GL12" s="117"/>
      <c r="GM12" s="117"/>
      <c r="GN12" s="117"/>
      <c r="GO12" s="117"/>
      <c r="GP12" s="117"/>
      <c r="GQ12" s="117"/>
      <c r="GR12" s="117"/>
      <c r="GS12" s="117"/>
      <c r="GT12" s="117"/>
      <c r="GU12" s="117"/>
      <c r="GV12" s="117"/>
      <c r="GW12" s="117"/>
      <c r="GX12" s="117"/>
      <c r="GY12" s="117"/>
    </row>
    <row r="13" spans="1:207" s="144" customFormat="1" ht="17.25" thickBot="1">
      <c r="A13" s="184"/>
      <c r="B13" s="117"/>
      <c r="C13" s="180"/>
      <c r="D13" s="180"/>
      <c r="E13" s="117"/>
      <c r="F13" s="181"/>
      <c r="G13" s="181"/>
      <c r="H13" s="181"/>
      <c r="I13" s="181"/>
      <c r="J13" s="251"/>
      <c r="K13" s="255"/>
      <c r="L13" s="255"/>
      <c r="M13" s="255"/>
      <c r="N13" s="157"/>
      <c r="O13" s="157"/>
      <c r="P13" s="180"/>
      <c r="Q13" s="117"/>
      <c r="R13" s="180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7"/>
      <c r="BF13" s="117"/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/>
      <c r="BU13" s="117"/>
      <c r="BV13" s="117"/>
      <c r="BW13" s="117"/>
      <c r="BX13" s="117"/>
      <c r="BY13" s="117"/>
      <c r="BZ13" s="117"/>
      <c r="CA13" s="117"/>
      <c r="CB13" s="117"/>
      <c r="CC13" s="117"/>
      <c r="CD13" s="117"/>
      <c r="CE13" s="117"/>
      <c r="CF13" s="117"/>
      <c r="CG13" s="117"/>
      <c r="CH13" s="117"/>
      <c r="CI13" s="117"/>
      <c r="CJ13" s="117"/>
      <c r="CK13" s="117"/>
      <c r="CL13" s="117"/>
      <c r="CM13" s="117"/>
      <c r="CN13" s="117"/>
      <c r="CO13" s="117"/>
      <c r="CP13" s="117"/>
      <c r="CQ13" s="117"/>
      <c r="CR13" s="117"/>
      <c r="CS13" s="117"/>
      <c r="CT13" s="117"/>
      <c r="CU13" s="117"/>
      <c r="CV13" s="117"/>
      <c r="CW13" s="117"/>
      <c r="CX13" s="117"/>
      <c r="CY13" s="117"/>
      <c r="CZ13" s="117"/>
      <c r="DA13" s="117"/>
      <c r="DB13" s="117"/>
      <c r="DC13" s="117"/>
      <c r="DD13" s="117"/>
      <c r="DE13" s="117"/>
      <c r="DF13" s="117"/>
      <c r="DG13" s="117"/>
      <c r="DH13" s="117"/>
      <c r="DI13" s="117"/>
      <c r="DJ13" s="117"/>
      <c r="DK13" s="117"/>
      <c r="DL13" s="117"/>
      <c r="DM13" s="117"/>
      <c r="DN13" s="117"/>
      <c r="DO13" s="117"/>
      <c r="DP13" s="117"/>
      <c r="DQ13" s="117"/>
      <c r="DR13" s="117"/>
      <c r="DS13" s="117"/>
      <c r="DT13" s="117"/>
      <c r="DU13" s="117"/>
      <c r="DV13" s="117"/>
      <c r="DW13" s="117"/>
      <c r="DX13" s="117"/>
      <c r="DY13" s="117"/>
      <c r="DZ13" s="117"/>
      <c r="EA13" s="117"/>
      <c r="EB13" s="117"/>
      <c r="EC13" s="117"/>
      <c r="ED13" s="117"/>
      <c r="EE13" s="117"/>
      <c r="EF13" s="117"/>
      <c r="EG13" s="117"/>
      <c r="EH13" s="117"/>
      <c r="EI13" s="117"/>
      <c r="EJ13" s="117"/>
      <c r="EK13" s="117"/>
      <c r="EL13" s="117"/>
      <c r="EM13" s="117"/>
      <c r="EN13" s="117"/>
      <c r="EO13" s="117"/>
      <c r="EP13" s="117"/>
      <c r="EQ13" s="117"/>
      <c r="ER13" s="117"/>
      <c r="ES13" s="117"/>
      <c r="ET13" s="117"/>
      <c r="EU13" s="117"/>
      <c r="EV13" s="117"/>
      <c r="EW13" s="117"/>
      <c r="EX13" s="117"/>
      <c r="EY13" s="117"/>
      <c r="EZ13" s="117"/>
      <c r="FA13" s="117"/>
      <c r="FB13" s="117"/>
      <c r="FC13" s="117"/>
      <c r="FD13" s="117"/>
      <c r="FE13" s="117"/>
      <c r="FF13" s="117"/>
      <c r="FG13" s="117"/>
      <c r="FH13" s="117"/>
      <c r="FI13" s="117"/>
      <c r="FJ13" s="117"/>
      <c r="FK13" s="117"/>
      <c r="FL13" s="117"/>
      <c r="FM13" s="117"/>
      <c r="FN13" s="117"/>
      <c r="FO13" s="117"/>
      <c r="FP13" s="117"/>
      <c r="FQ13" s="117"/>
      <c r="FR13" s="117"/>
      <c r="FS13" s="117"/>
      <c r="FT13" s="117"/>
      <c r="FU13" s="117"/>
      <c r="FV13" s="117"/>
      <c r="FW13" s="117"/>
      <c r="FX13" s="117"/>
      <c r="FY13" s="117"/>
      <c r="FZ13" s="117"/>
      <c r="GA13" s="117"/>
      <c r="GB13" s="117"/>
      <c r="GC13" s="117"/>
      <c r="GD13" s="117"/>
      <c r="GE13" s="117"/>
      <c r="GF13" s="117"/>
      <c r="GG13" s="117"/>
      <c r="GH13" s="117"/>
      <c r="GI13" s="117"/>
      <c r="GJ13" s="117"/>
      <c r="GK13" s="117"/>
      <c r="GL13" s="117"/>
      <c r="GM13" s="117"/>
      <c r="GN13" s="117"/>
      <c r="GO13" s="117"/>
      <c r="GP13" s="117"/>
      <c r="GQ13" s="117"/>
      <c r="GR13" s="117"/>
      <c r="GS13" s="117"/>
      <c r="GT13" s="117"/>
      <c r="GU13" s="117"/>
      <c r="GV13" s="117"/>
      <c r="GW13" s="117"/>
      <c r="GX13" s="117"/>
      <c r="GY13" s="117"/>
    </row>
    <row r="14" spans="1:207" s="74" customFormat="1" ht="17.25" thickBot="1">
      <c r="A14" s="117"/>
      <c r="B14" s="117"/>
      <c r="C14" s="157"/>
      <c r="D14" s="157"/>
      <c r="E14" s="117"/>
      <c r="F14" s="162"/>
      <c r="G14" s="162"/>
      <c r="H14" s="162"/>
      <c r="I14" s="162"/>
      <c r="J14" s="162"/>
      <c r="K14" s="256"/>
      <c r="L14" s="256"/>
      <c r="M14" s="256"/>
      <c r="N14" s="157"/>
      <c r="O14" s="157"/>
      <c r="P14" s="157"/>
      <c r="Q14" s="117"/>
      <c r="R14" s="157"/>
      <c r="AP14" s="117"/>
      <c r="AQ14" s="117"/>
      <c r="AR14" s="117"/>
      <c r="AS14" s="117"/>
      <c r="AT14" s="117"/>
      <c r="AU14" s="117"/>
      <c r="AV14" s="117"/>
      <c r="AW14" s="117"/>
      <c r="AX14" s="117"/>
      <c r="AY14" s="117"/>
      <c r="AZ14" s="117"/>
      <c r="BA14" s="117"/>
      <c r="BB14" s="117"/>
      <c r="BC14" s="117"/>
      <c r="BD14" s="117"/>
      <c r="BE14" s="117"/>
      <c r="BF14" s="117"/>
      <c r="BG14" s="117"/>
      <c r="BH14" s="117"/>
      <c r="BI14" s="117"/>
      <c r="BJ14" s="117"/>
      <c r="BK14" s="117"/>
      <c r="BL14" s="117"/>
      <c r="BM14" s="117"/>
      <c r="BN14" s="117"/>
      <c r="BO14" s="117"/>
      <c r="BP14" s="117"/>
      <c r="BQ14" s="117"/>
      <c r="BR14" s="117"/>
      <c r="BS14" s="117"/>
      <c r="BT14" s="117"/>
      <c r="BU14" s="117"/>
      <c r="BV14" s="117"/>
      <c r="BW14" s="117"/>
      <c r="BX14" s="117"/>
      <c r="BY14" s="117"/>
      <c r="BZ14" s="117"/>
      <c r="CA14" s="117"/>
      <c r="CB14" s="117"/>
      <c r="CC14" s="117"/>
      <c r="CD14" s="117"/>
      <c r="CE14" s="117"/>
      <c r="CF14" s="117"/>
      <c r="CG14" s="117"/>
      <c r="CH14" s="117"/>
      <c r="CI14" s="117"/>
      <c r="CJ14" s="117"/>
      <c r="CK14" s="117"/>
      <c r="CL14" s="117"/>
      <c r="CM14" s="117"/>
      <c r="CN14" s="117"/>
      <c r="CO14" s="117"/>
      <c r="CP14" s="117"/>
      <c r="CQ14" s="117"/>
      <c r="CR14" s="117"/>
      <c r="CS14" s="117"/>
      <c r="CT14" s="117"/>
      <c r="CU14" s="117"/>
      <c r="CV14" s="117"/>
      <c r="CW14" s="117"/>
      <c r="CX14" s="117"/>
      <c r="CY14" s="117"/>
      <c r="CZ14" s="117"/>
      <c r="DA14" s="117"/>
      <c r="DB14" s="117"/>
      <c r="DC14" s="117"/>
      <c r="DD14" s="117"/>
      <c r="DE14" s="117"/>
      <c r="DF14" s="117"/>
      <c r="DG14" s="117"/>
      <c r="DH14" s="117"/>
      <c r="DI14" s="117"/>
      <c r="DJ14" s="117"/>
      <c r="DK14" s="117"/>
      <c r="DL14" s="117"/>
      <c r="DM14" s="117"/>
      <c r="DN14" s="117"/>
      <c r="DO14" s="117"/>
      <c r="DP14" s="117"/>
      <c r="DQ14" s="117"/>
      <c r="DR14" s="117"/>
      <c r="DS14" s="117"/>
      <c r="DT14" s="117"/>
      <c r="DU14" s="117"/>
      <c r="DV14" s="117"/>
      <c r="DW14" s="117"/>
      <c r="DX14" s="117"/>
      <c r="DY14" s="117"/>
      <c r="DZ14" s="117"/>
      <c r="EA14" s="117"/>
      <c r="EB14" s="117"/>
      <c r="EC14" s="117"/>
      <c r="ED14" s="117"/>
      <c r="EE14" s="117"/>
      <c r="EF14" s="117"/>
      <c r="EG14" s="117"/>
      <c r="EH14" s="117"/>
      <c r="EI14" s="117"/>
      <c r="EJ14" s="117"/>
      <c r="EK14" s="117"/>
      <c r="EL14" s="117"/>
      <c r="EM14" s="117"/>
      <c r="EN14" s="117"/>
      <c r="EO14" s="117"/>
      <c r="EP14" s="117"/>
      <c r="EQ14" s="117"/>
      <c r="ER14" s="117"/>
      <c r="ES14" s="117"/>
      <c r="ET14" s="117"/>
      <c r="EU14" s="117"/>
      <c r="EV14" s="117"/>
      <c r="EW14" s="117"/>
      <c r="EX14" s="117"/>
      <c r="EY14" s="117"/>
      <c r="EZ14" s="117"/>
      <c r="FA14" s="117"/>
      <c r="FB14" s="117"/>
      <c r="FC14" s="117"/>
      <c r="FD14" s="117"/>
      <c r="FE14" s="117"/>
      <c r="FF14" s="117"/>
      <c r="FG14" s="117"/>
      <c r="FH14" s="117"/>
      <c r="FI14" s="117"/>
      <c r="FJ14" s="117"/>
      <c r="FK14" s="117"/>
      <c r="FL14" s="117"/>
      <c r="FM14" s="117"/>
      <c r="FN14" s="117"/>
      <c r="FO14" s="117"/>
      <c r="FP14" s="117"/>
      <c r="FQ14" s="117"/>
      <c r="FR14" s="117"/>
      <c r="FS14" s="117"/>
      <c r="FT14" s="117"/>
      <c r="FU14" s="117"/>
      <c r="FV14" s="117"/>
      <c r="FW14" s="117"/>
      <c r="FX14" s="117"/>
      <c r="FY14" s="117"/>
      <c r="FZ14" s="117"/>
      <c r="GA14" s="117"/>
      <c r="GB14" s="117"/>
      <c r="GC14" s="117"/>
      <c r="GD14" s="117"/>
      <c r="GE14" s="117"/>
      <c r="GF14" s="117"/>
      <c r="GG14" s="117"/>
      <c r="GH14" s="117"/>
      <c r="GI14" s="117"/>
      <c r="GJ14" s="117"/>
      <c r="GK14" s="117"/>
      <c r="GL14" s="117"/>
      <c r="GM14" s="117"/>
      <c r="GN14" s="117"/>
      <c r="GO14" s="117"/>
      <c r="GP14" s="117"/>
      <c r="GQ14" s="117"/>
      <c r="GR14" s="117"/>
      <c r="GS14" s="117"/>
      <c r="GT14" s="117"/>
      <c r="GU14" s="117"/>
      <c r="GV14" s="117"/>
      <c r="GW14" s="117"/>
      <c r="GX14" s="117"/>
      <c r="GY14" s="117"/>
    </row>
    <row r="15" spans="1:207" s="149" customFormat="1">
      <c r="A15" s="183" t="s">
        <v>388</v>
      </c>
      <c r="B15" s="117"/>
      <c r="C15" s="177" t="s">
        <v>211</v>
      </c>
      <c r="D15" s="177" t="s">
        <v>383</v>
      </c>
      <c r="E15" s="117"/>
      <c r="F15" s="178" t="s">
        <v>21</v>
      </c>
      <c r="G15" s="178" t="s">
        <v>24</v>
      </c>
      <c r="H15" s="187"/>
      <c r="I15" s="178" t="s">
        <v>364</v>
      </c>
      <c r="J15" s="251"/>
      <c r="K15" s="255"/>
      <c r="L15" s="255"/>
      <c r="M15" s="255"/>
      <c r="N15" s="157"/>
      <c r="O15" s="157"/>
      <c r="P15" s="177" t="s">
        <v>279</v>
      </c>
      <c r="Q15" s="117"/>
      <c r="R15" s="177" t="s">
        <v>377</v>
      </c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  <c r="BI15" s="74"/>
      <c r="BJ15" s="117"/>
      <c r="BK15" s="117"/>
      <c r="BL15" s="117"/>
      <c r="BM15" s="117"/>
      <c r="BN15" s="117"/>
      <c r="BO15" s="117"/>
      <c r="BP15" s="117"/>
      <c r="BQ15" s="117"/>
      <c r="BR15" s="117"/>
      <c r="BS15" s="117"/>
      <c r="BT15" s="117"/>
      <c r="BU15" s="117"/>
      <c r="BV15" s="117"/>
      <c r="BW15" s="117"/>
      <c r="BX15" s="117"/>
      <c r="BY15" s="117"/>
      <c r="BZ15" s="117"/>
      <c r="CA15" s="117"/>
      <c r="CB15" s="117"/>
      <c r="CC15" s="117"/>
      <c r="CD15" s="117"/>
      <c r="CE15" s="117"/>
      <c r="CF15" s="117"/>
      <c r="CG15" s="117"/>
      <c r="CH15" s="117"/>
      <c r="CI15" s="117"/>
      <c r="CJ15" s="117"/>
      <c r="CK15" s="117"/>
      <c r="CL15" s="117"/>
      <c r="CM15" s="117"/>
      <c r="CN15" s="117"/>
      <c r="CO15" s="117"/>
      <c r="CP15" s="117"/>
      <c r="CQ15" s="117"/>
      <c r="CR15" s="117"/>
      <c r="CS15" s="117"/>
      <c r="CT15" s="117"/>
      <c r="CU15" s="117"/>
      <c r="CV15" s="117"/>
      <c r="CW15" s="117"/>
      <c r="CX15" s="117"/>
      <c r="CY15" s="117"/>
      <c r="CZ15" s="117"/>
      <c r="DA15" s="117"/>
      <c r="DB15" s="117"/>
      <c r="DC15" s="117"/>
      <c r="DD15" s="117"/>
      <c r="DE15" s="117"/>
      <c r="DF15" s="117"/>
      <c r="DG15" s="117"/>
      <c r="DH15" s="117"/>
      <c r="DI15" s="117"/>
      <c r="DJ15" s="117"/>
      <c r="DK15" s="117"/>
      <c r="DL15" s="117"/>
      <c r="DM15" s="117"/>
      <c r="DN15" s="117"/>
      <c r="DO15" s="117"/>
      <c r="DP15" s="117"/>
      <c r="DQ15" s="117"/>
      <c r="DR15" s="117"/>
      <c r="DS15" s="117"/>
      <c r="DT15" s="117"/>
      <c r="DU15" s="117"/>
      <c r="DV15" s="117"/>
      <c r="DW15" s="117"/>
      <c r="DX15" s="117"/>
      <c r="DY15" s="117"/>
      <c r="DZ15" s="117"/>
      <c r="EA15" s="117"/>
      <c r="EB15" s="117"/>
      <c r="EC15" s="117"/>
      <c r="ED15" s="117"/>
      <c r="EE15" s="117"/>
      <c r="EF15" s="117"/>
      <c r="EG15" s="117"/>
      <c r="EH15" s="117"/>
      <c r="EI15" s="117"/>
      <c r="EJ15" s="117"/>
      <c r="EK15" s="117"/>
      <c r="EL15" s="117"/>
      <c r="EM15" s="117"/>
      <c r="EN15" s="117"/>
      <c r="EO15" s="117"/>
      <c r="EP15" s="117"/>
      <c r="EQ15" s="117"/>
      <c r="ER15" s="117"/>
      <c r="ES15" s="117"/>
      <c r="ET15" s="117"/>
      <c r="EU15" s="117"/>
      <c r="EV15" s="117"/>
      <c r="EW15" s="117"/>
      <c r="EX15" s="117"/>
      <c r="EY15" s="117"/>
      <c r="EZ15" s="117"/>
      <c r="FA15" s="117"/>
      <c r="FB15" s="117"/>
      <c r="FC15" s="117"/>
      <c r="FD15" s="117"/>
      <c r="FE15" s="117"/>
      <c r="FF15" s="117"/>
      <c r="FG15" s="117"/>
      <c r="FH15" s="117"/>
      <c r="FI15" s="117"/>
      <c r="FJ15" s="117"/>
      <c r="FK15" s="117"/>
      <c r="FL15" s="117"/>
      <c r="FM15" s="117"/>
      <c r="FN15" s="117"/>
      <c r="FO15" s="117"/>
      <c r="FP15" s="117"/>
      <c r="FQ15" s="117"/>
      <c r="FR15" s="117"/>
      <c r="FS15" s="117"/>
      <c r="FT15" s="117"/>
      <c r="FU15" s="117"/>
      <c r="FV15" s="117"/>
      <c r="FW15" s="117"/>
      <c r="FX15" s="117"/>
      <c r="FY15" s="117"/>
      <c r="FZ15" s="117"/>
      <c r="GA15" s="117"/>
      <c r="GB15" s="117"/>
      <c r="GC15" s="117"/>
      <c r="GD15" s="117"/>
      <c r="GE15" s="117"/>
      <c r="GF15" s="117"/>
      <c r="GG15" s="117"/>
      <c r="GH15" s="117"/>
      <c r="GI15" s="117"/>
      <c r="GJ15" s="117"/>
      <c r="GK15" s="117"/>
      <c r="GL15" s="117"/>
      <c r="GM15" s="117"/>
      <c r="GN15" s="117"/>
      <c r="GO15" s="117"/>
      <c r="GP15" s="117"/>
      <c r="GQ15" s="117"/>
      <c r="GR15" s="117"/>
      <c r="GS15" s="117"/>
      <c r="GT15" s="117"/>
      <c r="GU15" s="117"/>
      <c r="GV15" s="117"/>
      <c r="GW15" s="117"/>
      <c r="GX15" s="117"/>
      <c r="GY15" s="117"/>
    </row>
    <row r="16" spans="1:207" s="149" customFormat="1" ht="17.25" thickBot="1">
      <c r="A16" s="184"/>
      <c r="B16" s="117"/>
      <c r="C16" s="180"/>
      <c r="D16" s="180"/>
      <c r="E16" s="117"/>
      <c r="F16" s="181"/>
      <c r="G16" s="181"/>
      <c r="H16" s="188"/>
      <c r="I16" s="181"/>
      <c r="J16" s="251"/>
      <c r="K16" s="255"/>
      <c r="L16" s="255"/>
      <c r="M16" s="255"/>
      <c r="N16" s="157"/>
      <c r="O16" s="157"/>
      <c r="P16" s="180"/>
      <c r="Q16" s="117"/>
      <c r="R16" s="180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117"/>
      <c r="BK16" s="117"/>
      <c r="BL16" s="117"/>
      <c r="BM16" s="117"/>
      <c r="BN16" s="117"/>
      <c r="BO16" s="117"/>
      <c r="BP16" s="117"/>
      <c r="BQ16" s="117"/>
      <c r="BR16" s="117"/>
      <c r="BS16" s="117"/>
      <c r="BT16" s="117"/>
      <c r="BU16" s="117"/>
      <c r="BV16" s="117"/>
      <c r="BW16" s="117"/>
      <c r="BX16" s="117"/>
      <c r="BY16" s="117"/>
      <c r="BZ16" s="117"/>
      <c r="CA16" s="117"/>
      <c r="CB16" s="117"/>
      <c r="CC16" s="117"/>
      <c r="CD16" s="117"/>
      <c r="CE16" s="117"/>
      <c r="CF16" s="117"/>
      <c r="CG16" s="117"/>
      <c r="CH16" s="117"/>
      <c r="CI16" s="117"/>
      <c r="CJ16" s="117"/>
      <c r="CK16" s="117"/>
      <c r="CL16" s="117"/>
      <c r="CM16" s="117"/>
      <c r="CN16" s="117"/>
      <c r="CO16" s="117"/>
      <c r="CP16" s="117"/>
      <c r="CQ16" s="117"/>
      <c r="CR16" s="117"/>
      <c r="CS16" s="117"/>
      <c r="CT16" s="117"/>
      <c r="CU16" s="117"/>
      <c r="CV16" s="117"/>
      <c r="CW16" s="117"/>
      <c r="CX16" s="117"/>
      <c r="CY16" s="117"/>
      <c r="CZ16" s="117"/>
      <c r="DA16" s="117"/>
      <c r="DB16" s="117"/>
      <c r="DC16" s="117"/>
      <c r="DD16" s="117"/>
      <c r="DE16" s="117"/>
      <c r="DF16" s="117"/>
      <c r="DG16" s="117"/>
      <c r="DH16" s="117"/>
      <c r="DI16" s="117"/>
      <c r="DJ16" s="117"/>
      <c r="DK16" s="117"/>
      <c r="DL16" s="117"/>
      <c r="DM16" s="117"/>
      <c r="DN16" s="117"/>
      <c r="DO16" s="117"/>
      <c r="DP16" s="117"/>
      <c r="DQ16" s="117"/>
      <c r="DR16" s="117"/>
      <c r="DS16" s="117"/>
      <c r="DT16" s="117"/>
      <c r="DU16" s="117"/>
      <c r="DV16" s="117"/>
      <c r="DW16" s="117"/>
      <c r="DX16" s="117"/>
      <c r="DY16" s="117"/>
      <c r="DZ16" s="117"/>
      <c r="EA16" s="117"/>
      <c r="EB16" s="117"/>
      <c r="EC16" s="117"/>
      <c r="ED16" s="117"/>
      <c r="EE16" s="117"/>
      <c r="EF16" s="117"/>
      <c r="EG16" s="117"/>
      <c r="EH16" s="117"/>
      <c r="EI16" s="117"/>
      <c r="EJ16" s="117"/>
      <c r="EK16" s="117"/>
      <c r="EL16" s="117"/>
      <c r="EM16" s="117"/>
      <c r="EN16" s="117"/>
      <c r="EO16" s="117"/>
      <c r="EP16" s="117"/>
      <c r="EQ16" s="117"/>
      <c r="ER16" s="117"/>
      <c r="ES16" s="117"/>
      <c r="ET16" s="117"/>
      <c r="EU16" s="117"/>
      <c r="EV16" s="117"/>
      <c r="EW16" s="117"/>
      <c r="EX16" s="117"/>
      <c r="EY16" s="117"/>
      <c r="EZ16" s="117"/>
      <c r="FA16" s="117"/>
      <c r="FB16" s="117"/>
      <c r="FC16" s="117"/>
      <c r="FD16" s="117"/>
      <c r="FE16" s="117"/>
      <c r="FF16" s="117"/>
      <c r="FG16" s="117"/>
      <c r="FH16" s="117"/>
      <c r="FI16" s="117"/>
      <c r="FJ16" s="117"/>
      <c r="FK16" s="117"/>
      <c r="FL16" s="117"/>
      <c r="FM16" s="117"/>
      <c r="FN16" s="117"/>
      <c r="FO16" s="117"/>
      <c r="FP16" s="117"/>
      <c r="FQ16" s="117"/>
      <c r="FR16" s="117"/>
      <c r="FS16" s="117"/>
      <c r="FT16" s="117"/>
      <c r="FU16" s="117"/>
      <c r="FV16" s="117"/>
      <c r="FW16" s="117"/>
      <c r="FX16" s="117"/>
      <c r="FY16" s="117"/>
      <c r="FZ16" s="117"/>
      <c r="GA16" s="117"/>
      <c r="GB16" s="117"/>
      <c r="GC16" s="117"/>
      <c r="GD16" s="117"/>
      <c r="GE16" s="117"/>
      <c r="GF16" s="117"/>
      <c r="GG16" s="117"/>
      <c r="GH16" s="117"/>
      <c r="GI16" s="117"/>
      <c r="GJ16" s="117"/>
      <c r="GK16" s="117"/>
      <c r="GL16" s="117"/>
      <c r="GM16" s="117"/>
      <c r="GN16" s="117"/>
      <c r="GO16" s="117"/>
      <c r="GP16" s="117"/>
      <c r="GQ16" s="117"/>
      <c r="GR16" s="117"/>
      <c r="GS16" s="117"/>
      <c r="GT16" s="117"/>
      <c r="GU16" s="117"/>
      <c r="GV16" s="117"/>
      <c r="GW16" s="117"/>
      <c r="GX16" s="117"/>
      <c r="GY16" s="117"/>
    </row>
    <row r="17" spans="1:207" s="74" customFormat="1" ht="17.25" thickBot="1">
      <c r="A17" s="117"/>
      <c r="B17" s="117"/>
      <c r="C17" s="157"/>
      <c r="D17" s="157"/>
      <c r="E17" s="117"/>
      <c r="F17" s="162"/>
      <c r="G17" s="162"/>
      <c r="H17" s="162"/>
      <c r="I17" s="162"/>
      <c r="J17" s="162"/>
      <c r="K17" s="256"/>
      <c r="L17" s="256"/>
      <c r="M17" s="256"/>
      <c r="N17" s="157"/>
      <c r="O17" s="157"/>
      <c r="P17" s="157"/>
      <c r="Q17" s="117"/>
      <c r="R17" s="157"/>
      <c r="AP17" s="117"/>
      <c r="AQ17" s="117"/>
      <c r="AR17" s="117"/>
      <c r="AS17" s="117"/>
      <c r="AT17" s="117"/>
      <c r="AU17" s="117"/>
      <c r="AV17" s="117"/>
      <c r="AW17" s="117"/>
      <c r="AX17" s="117"/>
      <c r="AY17" s="117"/>
      <c r="AZ17" s="117"/>
      <c r="BA17" s="117"/>
      <c r="BB17" s="117"/>
      <c r="BC17" s="117"/>
      <c r="BD17" s="117"/>
      <c r="BE17" s="117"/>
      <c r="BF17" s="117"/>
      <c r="BG17" s="117"/>
      <c r="BH17" s="117"/>
      <c r="BI17" s="117"/>
      <c r="BJ17" s="117"/>
      <c r="BK17" s="117"/>
      <c r="BL17" s="117"/>
      <c r="BM17" s="117"/>
      <c r="BN17" s="117"/>
      <c r="BO17" s="117"/>
      <c r="BP17" s="117"/>
      <c r="BQ17" s="117"/>
      <c r="BR17" s="117"/>
      <c r="BS17" s="117"/>
      <c r="BT17" s="117"/>
      <c r="BU17" s="117"/>
      <c r="BV17" s="117"/>
      <c r="BW17" s="117"/>
      <c r="BX17" s="117"/>
      <c r="BY17" s="117"/>
      <c r="BZ17" s="117"/>
      <c r="CA17" s="117"/>
      <c r="CB17" s="117"/>
      <c r="CC17" s="117"/>
      <c r="CD17" s="117"/>
      <c r="CE17" s="117"/>
      <c r="CF17" s="117"/>
      <c r="CG17" s="117"/>
      <c r="CH17" s="117"/>
      <c r="CI17" s="117"/>
      <c r="CJ17" s="117"/>
      <c r="CK17" s="117"/>
      <c r="CL17" s="117"/>
      <c r="CM17" s="117"/>
      <c r="CN17" s="117"/>
      <c r="CO17" s="117"/>
      <c r="CP17" s="117"/>
      <c r="CQ17" s="117"/>
      <c r="CR17" s="117"/>
      <c r="CS17" s="117"/>
      <c r="CT17" s="117"/>
      <c r="CU17" s="117"/>
      <c r="CV17" s="117"/>
      <c r="CW17" s="117"/>
      <c r="CX17" s="117"/>
      <c r="CY17" s="117"/>
      <c r="CZ17" s="117"/>
      <c r="DA17" s="117"/>
      <c r="DB17" s="117"/>
      <c r="DC17" s="117"/>
      <c r="DD17" s="117"/>
      <c r="DE17" s="117"/>
      <c r="DF17" s="117"/>
      <c r="DG17" s="117"/>
      <c r="DH17" s="117"/>
      <c r="DI17" s="117"/>
      <c r="DJ17" s="117"/>
      <c r="DK17" s="117"/>
      <c r="DL17" s="117"/>
      <c r="DM17" s="117"/>
      <c r="DN17" s="117"/>
      <c r="DO17" s="117"/>
      <c r="DP17" s="117"/>
      <c r="DQ17" s="117"/>
      <c r="DR17" s="117"/>
      <c r="DS17" s="117"/>
      <c r="DT17" s="117"/>
      <c r="DU17" s="117"/>
      <c r="DV17" s="117"/>
      <c r="DW17" s="117"/>
      <c r="DX17" s="117"/>
      <c r="DY17" s="117"/>
      <c r="DZ17" s="117"/>
      <c r="EA17" s="117"/>
      <c r="EB17" s="117"/>
      <c r="EC17" s="117"/>
      <c r="ED17" s="117"/>
      <c r="EE17" s="117"/>
      <c r="EF17" s="117"/>
      <c r="EG17" s="117"/>
      <c r="EH17" s="117"/>
      <c r="EI17" s="117"/>
      <c r="EJ17" s="117"/>
      <c r="EK17" s="117"/>
      <c r="EL17" s="117"/>
      <c r="EM17" s="117"/>
      <c r="EN17" s="117"/>
      <c r="EO17" s="117"/>
      <c r="EP17" s="117"/>
      <c r="EQ17" s="117"/>
      <c r="ER17" s="117"/>
      <c r="ES17" s="117"/>
      <c r="ET17" s="117"/>
      <c r="EU17" s="117"/>
      <c r="EV17" s="117"/>
      <c r="EW17" s="117"/>
      <c r="EX17" s="117"/>
      <c r="EY17" s="117"/>
      <c r="EZ17" s="117"/>
      <c r="FA17" s="117"/>
      <c r="FB17" s="117"/>
      <c r="FC17" s="117"/>
      <c r="FD17" s="117"/>
      <c r="FE17" s="117"/>
      <c r="FF17" s="117"/>
      <c r="FG17" s="117"/>
      <c r="FH17" s="117"/>
      <c r="FI17" s="117"/>
      <c r="FJ17" s="117"/>
      <c r="FK17" s="117"/>
      <c r="FL17" s="117"/>
      <c r="FM17" s="117"/>
      <c r="FN17" s="117"/>
      <c r="FO17" s="117"/>
      <c r="FP17" s="117"/>
      <c r="FQ17" s="117"/>
      <c r="FR17" s="117"/>
      <c r="FS17" s="117"/>
      <c r="FT17" s="117"/>
      <c r="FU17" s="117"/>
      <c r="FV17" s="117"/>
      <c r="FW17" s="117"/>
      <c r="FX17" s="117"/>
      <c r="FY17" s="117"/>
      <c r="FZ17" s="117"/>
      <c r="GA17" s="117"/>
      <c r="GB17" s="117"/>
      <c r="GC17" s="117"/>
      <c r="GD17" s="117"/>
      <c r="GE17" s="117"/>
      <c r="GF17" s="117"/>
      <c r="GG17" s="117"/>
      <c r="GH17" s="117"/>
      <c r="GI17" s="117"/>
      <c r="GJ17" s="117"/>
      <c r="GK17" s="117"/>
      <c r="GL17" s="117"/>
      <c r="GM17" s="117"/>
      <c r="GN17" s="117"/>
      <c r="GO17" s="117"/>
      <c r="GP17" s="117"/>
      <c r="GQ17" s="117"/>
      <c r="GR17" s="117"/>
      <c r="GS17" s="117"/>
      <c r="GT17" s="117"/>
      <c r="GU17" s="117"/>
      <c r="GV17" s="117"/>
      <c r="GW17" s="117"/>
      <c r="GX17" s="117"/>
      <c r="GY17" s="117"/>
    </row>
    <row r="18" spans="1:207" s="150" customFormat="1">
      <c r="A18" s="191" t="s">
        <v>395</v>
      </c>
      <c r="B18" s="117"/>
      <c r="C18" s="177" t="s">
        <v>392</v>
      </c>
      <c r="D18" s="177" t="s">
        <v>279</v>
      </c>
      <c r="E18" s="117"/>
      <c r="F18" s="178" t="s">
        <v>393</v>
      </c>
      <c r="G18" s="189"/>
      <c r="H18" s="189"/>
      <c r="I18" s="178" t="s">
        <v>364</v>
      </c>
      <c r="J18" s="251"/>
      <c r="K18" s="255"/>
      <c r="L18" s="255"/>
      <c r="M18" s="255"/>
      <c r="N18" s="157"/>
      <c r="O18" s="157"/>
      <c r="P18" s="177" t="s">
        <v>279</v>
      </c>
      <c r="Q18" s="117"/>
      <c r="R18" s="177" t="s">
        <v>377</v>
      </c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  <c r="CH18" s="74"/>
      <c r="CI18" s="74"/>
      <c r="CJ18" s="74"/>
      <c r="CK18" s="74"/>
      <c r="CL18" s="74"/>
      <c r="CM18" s="74"/>
      <c r="CN18" s="74"/>
      <c r="CO18" s="157"/>
      <c r="CP18" s="157"/>
      <c r="CQ18" s="157"/>
      <c r="CR18" s="157"/>
      <c r="CS18" s="157"/>
      <c r="CT18" s="157"/>
      <c r="CU18" s="157"/>
      <c r="CV18" s="157"/>
      <c r="CW18" s="157"/>
      <c r="CX18" s="157"/>
      <c r="CY18" s="157"/>
      <c r="CZ18" s="157"/>
      <c r="DA18" s="157"/>
      <c r="DB18" s="157"/>
      <c r="DC18" s="157"/>
      <c r="DD18" s="157"/>
      <c r="DE18" s="157"/>
      <c r="DF18" s="157"/>
      <c r="DG18" s="157"/>
      <c r="DH18" s="157"/>
      <c r="DI18" s="157"/>
      <c r="DJ18" s="157"/>
      <c r="DK18" s="157"/>
      <c r="DL18" s="157"/>
      <c r="DM18" s="157"/>
      <c r="DN18" s="157"/>
      <c r="DO18" s="157"/>
      <c r="DP18" s="157"/>
      <c r="DQ18" s="157"/>
      <c r="DR18" s="157"/>
      <c r="DS18" s="157"/>
      <c r="DT18" s="157"/>
      <c r="DU18" s="157"/>
      <c r="DV18" s="157"/>
      <c r="DW18" s="157"/>
      <c r="DX18" s="157"/>
      <c r="DY18" s="157"/>
      <c r="DZ18" s="157"/>
      <c r="EA18" s="157"/>
      <c r="EB18" s="157"/>
      <c r="EC18" s="157"/>
      <c r="ED18" s="157"/>
      <c r="EE18" s="157"/>
      <c r="EF18" s="157"/>
      <c r="EG18" s="157"/>
      <c r="EH18" s="157"/>
      <c r="EI18" s="157"/>
      <c r="EJ18" s="157"/>
      <c r="EK18" s="157"/>
      <c r="EL18" s="157"/>
      <c r="EM18" s="157"/>
      <c r="EN18" s="157"/>
      <c r="EO18" s="157"/>
      <c r="EP18" s="157"/>
      <c r="EQ18" s="157"/>
      <c r="ER18" s="157"/>
      <c r="ES18" s="157"/>
      <c r="ET18" s="157"/>
      <c r="EU18" s="157"/>
      <c r="EV18" s="157"/>
      <c r="EW18" s="157"/>
      <c r="EX18" s="157"/>
      <c r="EY18" s="157"/>
      <c r="EZ18" s="157"/>
      <c r="FA18" s="157"/>
      <c r="FB18" s="157"/>
      <c r="FC18" s="157"/>
      <c r="FD18" s="157"/>
      <c r="FE18" s="157"/>
      <c r="FF18" s="157"/>
      <c r="FG18" s="157"/>
      <c r="FH18" s="157"/>
      <c r="FI18" s="157"/>
      <c r="FJ18" s="157"/>
      <c r="FK18" s="157"/>
      <c r="FL18" s="157"/>
      <c r="FM18" s="157"/>
      <c r="FN18" s="157"/>
      <c r="FO18" s="157"/>
      <c r="FP18" s="157"/>
      <c r="FQ18" s="157"/>
      <c r="FR18" s="157"/>
      <c r="FS18" s="157"/>
      <c r="FT18" s="157"/>
      <c r="FU18" s="157"/>
      <c r="FV18" s="157"/>
      <c r="FW18" s="157"/>
      <c r="FX18" s="157"/>
      <c r="FY18" s="157"/>
      <c r="FZ18" s="157"/>
      <c r="GA18" s="157"/>
      <c r="GB18" s="157"/>
      <c r="GC18" s="157"/>
      <c r="GD18" s="157"/>
      <c r="GE18" s="157"/>
      <c r="GF18" s="157"/>
      <c r="GG18" s="157"/>
      <c r="GH18" s="157"/>
      <c r="GI18" s="157"/>
      <c r="GJ18" s="157"/>
      <c r="GK18" s="157"/>
      <c r="GL18" s="157"/>
      <c r="GM18" s="157"/>
      <c r="GN18" s="157"/>
      <c r="GO18" s="157"/>
      <c r="GP18" s="157"/>
      <c r="GQ18" s="157"/>
      <c r="GR18" s="157"/>
      <c r="GS18" s="157"/>
      <c r="GT18" s="157"/>
      <c r="GU18" s="157"/>
      <c r="GV18" s="157"/>
      <c r="GW18" s="157"/>
      <c r="GX18" s="157"/>
      <c r="GY18" s="157"/>
    </row>
    <row r="19" spans="1:207" s="150" customFormat="1" ht="17.25" thickBot="1">
      <c r="A19" s="192"/>
      <c r="B19" s="117"/>
      <c r="C19" s="180"/>
      <c r="D19" s="180"/>
      <c r="E19" s="117"/>
      <c r="F19" s="181"/>
      <c r="G19" s="190"/>
      <c r="H19" s="190"/>
      <c r="I19" s="181"/>
      <c r="J19" s="251"/>
      <c r="K19" s="255"/>
      <c r="L19" s="255"/>
      <c r="M19" s="255"/>
      <c r="N19" s="157"/>
      <c r="O19" s="157"/>
      <c r="P19" s="180"/>
      <c r="Q19" s="117"/>
      <c r="R19" s="180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  <c r="BX19" s="74"/>
      <c r="BY19" s="74"/>
      <c r="BZ19" s="74"/>
      <c r="CA19" s="74"/>
      <c r="CB19" s="74"/>
      <c r="CC19" s="74"/>
      <c r="CD19" s="74"/>
      <c r="CE19" s="74"/>
      <c r="CF19" s="74"/>
      <c r="CG19" s="74"/>
      <c r="CH19" s="74"/>
      <c r="CI19" s="74"/>
      <c r="CJ19" s="74"/>
      <c r="CK19" s="74"/>
      <c r="CL19" s="74"/>
      <c r="CM19" s="74"/>
      <c r="CN19" s="74"/>
      <c r="CO19" s="157"/>
      <c r="CP19" s="157"/>
      <c r="CQ19" s="157"/>
      <c r="CR19" s="157"/>
      <c r="CS19" s="157"/>
      <c r="CT19" s="157"/>
      <c r="CU19" s="157"/>
      <c r="CV19" s="157"/>
      <c r="CW19" s="157"/>
      <c r="CX19" s="157"/>
      <c r="CY19" s="157"/>
      <c r="CZ19" s="157"/>
      <c r="DA19" s="157"/>
      <c r="DB19" s="157"/>
      <c r="DC19" s="157"/>
      <c r="DD19" s="157"/>
      <c r="DE19" s="157"/>
      <c r="DF19" s="157"/>
      <c r="DG19" s="157"/>
      <c r="DH19" s="157"/>
      <c r="DI19" s="157"/>
      <c r="DJ19" s="157"/>
      <c r="DK19" s="157"/>
      <c r="DL19" s="157"/>
      <c r="DM19" s="157"/>
      <c r="DN19" s="157"/>
      <c r="DO19" s="157"/>
      <c r="DP19" s="157"/>
      <c r="DQ19" s="157"/>
      <c r="DR19" s="157"/>
      <c r="DS19" s="157"/>
      <c r="DT19" s="157"/>
      <c r="DU19" s="157"/>
      <c r="DV19" s="157"/>
      <c r="DW19" s="157"/>
      <c r="DX19" s="157"/>
      <c r="DY19" s="157"/>
      <c r="DZ19" s="157"/>
      <c r="EA19" s="157"/>
      <c r="EB19" s="157"/>
      <c r="EC19" s="157"/>
      <c r="ED19" s="157"/>
      <c r="EE19" s="157"/>
      <c r="EF19" s="157"/>
      <c r="EG19" s="157"/>
      <c r="EH19" s="157"/>
      <c r="EI19" s="157"/>
      <c r="EJ19" s="157"/>
      <c r="EK19" s="157"/>
      <c r="EL19" s="157"/>
      <c r="EM19" s="157"/>
      <c r="EN19" s="157"/>
      <c r="EO19" s="157"/>
      <c r="EP19" s="157"/>
      <c r="EQ19" s="157"/>
      <c r="ER19" s="157"/>
      <c r="ES19" s="157"/>
      <c r="ET19" s="157"/>
      <c r="EU19" s="157"/>
      <c r="EV19" s="157"/>
      <c r="EW19" s="157"/>
      <c r="EX19" s="157"/>
      <c r="EY19" s="157"/>
      <c r="EZ19" s="157"/>
      <c r="FA19" s="157"/>
      <c r="FB19" s="157"/>
      <c r="FC19" s="157"/>
      <c r="FD19" s="157"/>
      <c r="FE19" s="157"/>
      <c r="FF19" s="157"/>
      <c r="FG19" s="157"/>
      <c r="FH19" s="157"/>
      <c r="FI19" s="157"/>
      <c r="FJ19" s="157"/>
      <c r="FK19" s="157"/>
      <c r="FL19" s="157"/>
      <c r="FM19" s="157"/>
      <c r="FN19" s="157"/>
      <c r="FO19" s="157"/>
      <c r="FP19" s="157"/>
      <c r="FQ19" s="157"/>
      <c r="FR19" s="157"/>
      <c r="FS19" s="157"/>
      <c r="FT19" s="157"/>
      <c r="FU19" s="157"/>
      <c r="FV19" s="157"/>
      <c r="FW19" s="157"/>
      <c r="FX19" s="157"/>
      <c r="FY19" s="157"/>
      <c r="FZ19" s="157"/>
      <c r="GA19" s="157"/>
      <c r="GB19" s="157"/>
      <c r="GC19" s="157"/>
      <c r="GD19" s="157"/>
      <c r="GE19" s="157"/>
      <c r="GF19" s="157"/>
      <c r="GG19" s="157"/>
      <c r="GH19" s="157"/>
      <c r="GI19" s="157"/>
      <c r="GJ19" s="157"/>
      <c r="GK19" s="157"/>
      <c r="GL19" s="157"/>
      <c r="GM19" s="157"/>
      <c r="GN19" s="157"/>
      <c r="GO19" s="157"/>
      <c r="GP19" s="157"/>
      <c r="GQ19" s="157"/>
      <c r="GR19" s="157"/>
      <c r="GS19" s="157"/>
      <c r="GT19" s="157"/>
      <c r="GU19" s="157"/>
      <c r="GV19" s="157"/>
      <c r="GW19" s="157"/>
      <c r="GX19" s="157"/>
      <c r="GY19" s="157"/>
    </row>
    <row r="20" spans="1:207">
      <c r="K20" s="157"/>
      <c r="L20" s="157"/>
      <c r="M20" s="157"/>
      <c r="N20" s="157"/>
      <c r="O20" s="157"/>
      <c r="P20" s="157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  <c r="BX20" s="74"/>
      <c r="BY20" s="74"/>
      <c r="BZ20" s="74"/>
      <c r="CA20" s="74"/>
      <c r="CB20" s="74"/>
      <c r="CC20" s="74"/>
      <c r="CD20" s="74"/>
      <c r="CE20" s="74"/>
      <c r="CF20" s="74"/>
      <c r="CG20" s="74"/>
      <c r="CH20" s="74"/>
      <c r="CI20" s="74"/>
      <c r="CJ20" s="74"/>
      <c r="CK20" s="74"/>
      <c r="CL20" s="74"/>
      <c r="CM20" s="74"/>
      <c r="CN20" s="74"/>
    </row>
    <row r="21" spans="1:207"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74"/>
      <c r="BG21" s="74"/>
      <c r="BH21" s="74"/>
      <c r="BI21" s="74"/>
      <c r="BJ21" s="74"/>
      <c r="BK21" s="74"/>
      <c r="BL21" s="74"/>
      <c r="BM21" s="74"/>
      <c r="BN21" s="74"/>
      <c r="BO21" s="74"/>
      <c r="BP21" s="74"/>
      <c r="BQ21" s="74"/>
      <c r="BR21" s="74"/>
      <c r="BS21" s="74"/>
      <c r="BT21" s="74"/>
      <c r="BU21" s="74"/>
      <c r="BV21" s="74"/>
      <c r="BW21" s="74"/>
      <c r="BX21" s="74"/>
      <c r="BY21" s="74"/>
      <c r="BZ21" s="74"/>
      <c r="CA21" s="74"/>
      <c r="CB21" s="74"/>
      <c r="CC21" s="74"/>
      <c r="CD21" s="74"/>
      <c r="CE21" s="74"/>
      <c r="CF21" s="74"/>
      <c r="CG21" s="74"/>
      <c r="CH21" s="74"/>
      <c r="CI21" s="74"/>
      <c r="CJ21" s="74"/>
      <c r="CK21" s="74"/>
      <c r="CL21" s="74"/>
      <c r="CM21" s="74"/>
      <c r="CN21" s="74"/>
    </row>
    <row r="22" spans="1:207"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  <c r="CA22" s="74"/>
      <c r="CB22" s="74"/>
      <c r="CC22" s="74"/>
      <c r="CD22" s="74"/>
      <c r="CE22" s="74"/>
      <c r="CF22" s="74"/>
      <c r="CG22" s="74"/>
      <c r="CH22" s="74"/>
      <c r="CI22" s="74"/>
      <c r="CJ22" s="74"/>
      <c r="CK22" s="74"/>
      <c r="CL22" s="74"/>
      <c r="CM22" s="74"/>
      <c r="CN22" s="74"/>
    </row>
    <row r="23" spans="1:207"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74"/>
      <c r="BT23" s="74"/>
      <c r="BU23" s="74"/>
      <c r="BV23" s="74"/>
      <c r="BW23" s="74"/>
      <c r="BX23" s="74"/>
      <c r="BY23" s="74"/>
      <c r="BZ23" s="74"/>
      <c r="CA23" s="74"/>
      <c r="CB23" s="74"/>
      <c r="CC23" s="74"/>
      <c r="CD23" s="74"/>
      <c r="CE23" s="74"/>
      <c r="CF23" s="74"/>
      <c r="CG23" s="74"/>
      <c r="CH23" s="74"/>
      <c r="CI23" s="74"/>
      <c r="CJ23" s="74"/>
      <c r="CK23" s="74"/>
      <c r="CL23" s="74"/>
      <c r="CM23" s="74"/>
      <c r="CN23" s="74"/>
    </row>
    <row r="24" spans="1:207"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4"/>
      <c r="BV24" s="74"/>
      <c r="BW24" s="74"/>
      <c r="BX24" s="74"/>
      <c r="BY24" s="74"/>
      <c r="BZ24" s="74"/>
      <c r="CA24" s="74"/>
      <c r="CB24" s="74"/>
      <c r="CC24" s="74"/>
      <c r="CD24" s="74"/>
      <c r="CE24" s="74"/>
      <c r="CF24" s="74"/>
      <c r="CG24" s="74"/>
      <c r="CH24" s="74"/>
      <c r="CI24" s="74"/>
      <c r="CJ24" s="74"/>
      <c r="CK24" s="74"/>
      <c r="CL24" s="74"/>
      <c r="CM24" s="74"/>
      <c r="CN24" s="74"/>
    </row>
    <row r="25" spans="1:207"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74"/>
      <c r="BG25" s="74"/>
      <c r="BH25" s="74"/>
      <c r="BI25" s="74"/>
      <c r="BJ25" s="74"/>
      <c r="BK25" s="74"/>
      <c r="BL25" s="74"/>
      <c r="BM25" s="74"/>
      <c r="BN25" s="74"/>
      <c r="BO25" s="74"/>
      <c r="BP25" s="74"/>
      <c r="BQ25" s="74"/>
      <c r="BR25" s="74"/>
      <c r="BS25" s="74"/>
      <c r="BT25" s="74"/>
      <c r="BU25" s="74"/>
      <c r="BV25" s="74"/>
      <c r="BW25" s="74"/>
      <c r="BX25" s="74"/>
      <c r="BY25" s="74"/>
      <c r="BZ25" s="74"/>
      <c r="CA25" s="74"/>
      <c r="CB25" s="74"/>
      <c r="CC25" s="74"/>
      <c r="CD25" s="74"/>
      <c r="CE25" s="74"/>
      <c r="CF25" s="74"/>
      <c r="CG25" s="74"/>
      <c r="CH25" s="74"/>
      <c r="CI25" s="74"/>
      <c r="CJ25" s="74"/>
      <c r="CK25" s="74"/>
      <c r="CL25" s="74"/>
      <c r="CM25" s="74"/>
      <c r="CN25" s="74"/>
    </row>
    <row r="26" spans="1:207"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4"/>
      <c r="CA26" s="74"/>
      <c r="CB26" s="74"/>
      <c r="CC26" s="74"/>
      <c r="CD26" s="74"/>
      <c r="CE26" s="74"/>
      <c r="CF26" s="74"/>
      <c r="CG26" s="74"/>
      <c r="CH26" s="74"/>
      <c r="CI26" s="74"/>
      <c r="CJ26" s="74"/>
      <c r="CK26" s="74"/>
      <c r="CL26" s="74"/>
      <c r="CM26" s="74"/>
      <c r="CN26" s="74"/>
    </row>
    <row r="27" spans="1:207"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4"/>
      <c r="BT27" s="74"/>
      <c r="BU27" s="74"/>
      <c r="BV27" s="74"/>
      <c r="BW27" s="74"/>
      <c r="BX27" s="74"/>
      <c r="BY27" s="74"/>
      <c r="BZ27" s="74"/>
      <c r="CA27" s="74"/>
      <c r="CB27" s="74"/>
      <c r="CC27" s="74"/>
      <c r="CD27" s="74"/>
      <c r="CE27" s="74"/>
      <c r="CF27" s="74"/>
      <c r="CG27" s="74"/>
      <c r="CH27" s="74"/>
      <c r="CI27" s="74"/>
      <c r="CJ27" s="74"/>
      <c r="CK27" s="74"/>
      <c r="CL27" s="74"/>
      <c r="CM27" s="74"/>
      <c r="CN27" s="74"/>
    </row>
    <row r="28" spans="1:207"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74"/>
      <c r="BG28" s="74"/>
      <c r="BH28" s="74"/>
      <c r="BI28" s="74"/>
      <c r="BJ28" s="74"/>
      <c r="BK28" s="74"/>
      <c r="BL28" s="74"/>
      <c r="BM28" s="74"/>
      <c r="BN28" s="74"/>
      <c r="BO28" s="74"/>
      <c r="BP28" s="74"/>
      <c r="BQ28" s="74"/>
      <c r="BR28" s="74"/>
      <c r="BS28" s="74"/>
      <c r="BT28" s="74"/>
      <c r="BU28" s="74"/>
      <c r="BV28" s="74"/>
      <c r="BW28" s="74"/>
      <c r="BX28" s="74"/>
      <c r="BY28" s="74"/>
      <c r="BZ28" s="74"/>
      <c r="CA28" s="74"/>
      <c r="CB28" s="74"/>
      <c r="CC28" s="74"/>
      <c r="CD28" s="74"/>
      <c r="CE28" s="74"/>
      <c r="CF28" s="74"/>
      <c r="CG28" s="74"/>
      <c r="CH28" s="74"/>
      <c r="CI28" s="74"/>
      <c r="CJ28" s="74"/>
      <c r="CK28" s="74"/>
      <c r="CL28" s="74"/>
      <c r="CM28" s="74"/>
      <c r="CN28" s="74"/>
    </row>
    <row r="29" spans="1:207"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4"/>
      <c r="CA29" s="74"/>
      <c r="CB29" s="74"/>
      <c r="CC29" s="74"/>
      <c r="CD29" s="74"/>
      <c r="CE29" s="74"/>
      <c r="CF29" s="74"/>
      <c r="CG29" s="74"/>
      <c r="CH29" s="74"/>
      <c r="CI29" s="74"/>
      <c r="CJ29" s="74"/>
      <c r="CK29" s="74"/>
      <c r="CL29" s="74"/>
      <c r="CM29" s="74"/>
      <c r="CN29" s="74"/>
    </row>
    <row r="30" spans="1:207"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74"/>
      <c r="BG30" s="74"/>
      <c r="BH30" s="74"/>
      <c r="BI30" s="74"/>
      <c r="BJ30" s="74"/>
      <c r="BK30" s="74"/>
      <c r="BL30" s="74"/>
      <c r="BM30" s="74"/>
      <c r="BN30" s="74"/>
      <c r="BO30" s="74"/>
      <c r="BP30" s="74"/>
      <c r="BQ30" s="74"/>
      <c r="BR30" s="74"/>
      <c r="BS30" s="74"/>
      <c r="BT30" s="74"/>
      <c r="BU30" s="74"/>
      <c r="BV30" s="74"/>
      <c r="BW30" s="74"/>
      <c r="BX30" s="74"/>
      <c r="BY30" s="74"/>
      <c r="BZ30" s="74"/>
      <c r="CA30" s="74"/>
      <c r="CB30" s="74"/>
      <c r="CC30" s="74"/>
      <c r="CD30" s="74"/>
      <c r="CE30" s="74"/>
      <c r="CF30" s="74"/>
      <c r="CG30" s="74"/>
      <c r="CH30" s="74"/>
      <c r="CI30" s="74"/>
      <c r="CJ30" s="74"/>
      <c r="CK30" s="74"/>
      <c r="CL30" s="74"/>
      <c r="CM30" s="74"/>
      <c r="CN30" s="74"/>
    </row>
    <row r="31" spans="1:207"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74"/>
      <c r="BG31" s="74"/>
      <c r="BH31" s="74"/>
      <c r="BI31" s="74"/>
      <c r="BJ31" s="74"/>
      <c r="BK31" s="74"/>
      <c r="BL31" s="74"/>
      <c r="BM31" s="74"/>
      <c r="BN31" s="74"/>
      <c r="BO31" s="74"/>
      <c r="BP31" s="74"/>
      <c r="BQ31" s="74"/>
      <c r="BR31" s="74"/>
      <c r="BS31" s="74"/>
      <c r="BT31" s="74"/>
      <c r="BU31" s="74"/>
      <c r="BV31" s="74"/>
      <c r="BW31" s="74"/>
      <c r="BX31" s="74"/>
      <c r="BY31" s="74"/>
      <c r="BZ31" s="74"/>
      <c r="CA31" s="74"/>
      <c r="CB31" s="74"/>
      <c r="CC31" s="74"/>
      <c r="CD31" s="74"/>
      <c r="CE31" s="74"/>
      <c r="CF31" s="74"/>
      <c r="CG31" s="74"/>
      <c r="CH31" s="74"/>
      <c r="CI31" s="74"/>
      <c r="CJ31" s="74"/>
      <c r="CK31" s="74"/>
      <c r="CL31" s="74"/>
      <c r="CM31" s="74"/>
      <c r="CN31" s="74"/>
    </row>
  </sheetData>
  <mergeCells count="56">
    <mergeCell ref="O9:O10"/>
    <mergeCell ref="P9:P10"/>
    <mergeCell ref="K1:P1"/>
    <mergeCell ref="P12:P13"/>
    <mergeCell ref="P15:P16"/>
    <mergeCell ref="A3:A4"/>
    <mergeCell ref="C1:D1"/>
    <mergeCell ref="F1:I1"/>
    <mergeCell ref="G6:G7"/>
    <mergeCell ref="A6:A7"/>
    <mergeCell ref="A9:A10"/>
    <mergeCell ref="A12:A13"/>
    <mergeCell ref="A15:A16"/>
    <mergeCell ref="A18:A19"/>
    <mergeCell ref="C18:C19"/>
    <mergeCell ref="F18:F19"/>
    <mergeCell ref="I18:I19"/>
    <mergeCell ref="I15:I16"/>
    <mergeCell ref="R15:R16"/>
    <mergeCell ref="C15:C16"/>
    <mergeCell ref="D18:D19"/>
    <mergeCell ref="R18:R19"/>
    <mergeCell ref="P18:P19"/>
    <mergeCell ref="F15:F16"/>
    <mergeCell ref="G15:G16"/>
    <mergeCell ref="D15:D16"/>
    <mergeCell ref="I12:I13"/>
    <mergeCell ref="R12:R13"/>
    <mergeCell ref="C12:C13"/>
    <mergeCell ref="D12:D13"/>
    <mergeCell ref="F12:F13"/>
    <mergeCell ref="G12:G13"/>
    <mergeCell ref="H12:H13"/>
    <mergeCell ref="I6:I7"/>
    <mergeCell ref="I3:I4"/>
    <mergeCell ref="R3:R4"/>
    <mergeCell ref="D9:D10"/>
    <mergeCell ref="C9:C10"/>
    <mergeCell ref="F9:F10"/>
    <mergeCell ref="R6:R7"/>
    <mergeCell ref="I9:I10"/>
    <mergeCell ref="R9:R10"/>
    <mergeCell ref="G9:G10"/>
    <mergeCell ref="P3:P4"/>
    <mergeCell ref="P6:P7"/>
    <mergeCell ref="K9:K10"/>
    <mergeCell ref="L9:L10"/>
    <mergeCell ref="M9:M10"/>
    <mergeCell ref="N9:N10"/>
    <mergeCell ref="C3:C4"/>
    <mergeCell ref="D3:D4"/>
    <mergeCell ref="F3:F4"/>
    <mergeCell ref="G3:G4"/>
    <mergeCell ref="C6:C7"/>
    <mergeCell ref="F6:F7"/>
    <mergeCell ref="D6:D7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7"/>
  <sheetViews>
    <sheetView workbookViewId="0">
      <pane xSplit="1" topLeftCell="B1" activePane="topRight" state="frozen"/>
      <selection pane="topRight" activeCell="G30" sqref="G30"/>
    </sheetView>
  </sheetViews>
  <sheetFormatPr defaultRowHeight="16.5"/>
  <cols>
    <col min="1" max="1" width="9.5" style="74" bestFit="1" customWidth="1"/>
    <col min="2" max="2" width="5" customWidth="1"/>
    <col min="3" max="3" width="13" bestFit="1" customWidth="1"/>
    <col min="4" max="4" width="13" style="74" customWidth="1"/>
    <col min="5" max="5" width="21.375" bestFit="1" customWidth="1"/>
    <col min="6" max="6" width="21.375" style="74" customWidth="1"/>
    <col min="7" max="7" width="17.25" bestFit="1" customWidth="1"/>
    <col min="8" max="8" width="6.25" customWidth="1"/>
    <col min="10" max="11" width="9" style="74"/>
    <col min="12" max="12" width="21.375" bestFit="1" customWidth="1"/>
    <col min="13" max="13" width="17.25" bestFit="1" customWidth="1"/>
    <col min="14" max="14" width="16.5" bestFit="1" customWidth="1"/>
    <col min="15" max="15" width="6.125" customWidth="1"/>
    <col min="16" max="16" width="29" customWidth="1"/>
    <col min="17" max="17" width="18.625" style="74" bestFit="1" customWidth="1"/>
    <col min="18" max="18" width="18.625" bestFit="1" customWidth="1"/>
    <col min="19" max="20" width="31.125" bestFit="1" customWidth="1"/>
  </cols>
  <sheetData>
    <row r="1" spans="1:21" ht="17.25" thickBot="1">
      <c r="A1" s="195" t="s">
        <v>401</v>
      </c>
      <c r="C1" s="196" t="s">
        <v>404</v>
      </c>
      <c r="D1" s="198"/>
      <c r="E1" s="198"/>
      <c r="F1" s="198"/>
      <c r="G1" s="197"/>
      <c r="I1" s="196" t="s">
        <v>405</v>
      </c>
      <c r="J1" s="198"/>
      <c r="K1" s="198"/>
      <c r="L1" s="198"/>
      <c r="M1" s="198"/>
      <c r="N1" s="198"/>
      <c r="P1" s="252" t="s">
        <v>480</v>
      </c>
      <c r="Q1" s="253"/>
      <c r="R1" s="253"/>
      <c r="S1" s="253"/>
      <c r="T1" s="253"/>
      <c r="U1" s="254"/>
    </row>
    <row r="2" spans="1:21" ht="17.25" thickBot="1"/>
    <row r="3" spans="1:21">
      <c r="A3" s="191" t="s">
        <v>361</v>
      </c>
      <c r="D3" s="207" t="s">
        <v>271</v>
      </c>
      <c r="E3" s="207" t="s">
        <v>272</v>
      </c>
      <c r="J3" s="203" t="s">
        <v>24</v>
      </c>
      <c r="K3" s="203" t="s">
        <v>496</v>
      </c>
      <c r="N3" s="203" t="s">
        <v>498</v>
      </c>
      <c r="Q3" s="271" t="s">
        <v>534</v>
      </c>
      <c r="R3" s="271" t="s">
        <v>535</v>
      </c>
      <c r="S3" s="271" t="s">
        <v>536</v>
      </c>
    </row>
    <row r="4" spans="1:21" ht="17.25" thickBot="1">
      <c r="A4" s="192"/>
      <c r="D4" s="209"/>
      <c r="E4" s="209"/>
      <c r="J4" s="205"/>
      <c r="K4" s="205"/>
      <c r="N4" s="205"/>
      <c r="Q4" s="272"/>
      <c r="R4" s="272"/>
      <c r="S4" s="272"/>
    </row>
    <row r="5" spans="1:21" ht="17.25" thickBot="1">
      <c r="A5" s="117"/>
    </row>
    <row r="6" spans="1:21">
      <c r="A6" s="183" t="s">
        <v>380</v>
      </c>
      <c r="C6" s="288" t="s">
        <v>533</v>
      </c>
      <c r="J6" s="203" t="s">
        <v>24</v>
      </c>
      <c r="N6" s="203" t="s">
        <v>505</v>
      </c>
      <c r="Q6" s="271" t="s">
        <v>279</v>
      </c>
      <c r="R6" s="271" t="s">
        <v>506</v>
      </c>
      <c r="S6" s="271" t="s">
        <v>507</v>
      </c>
    </row>
    <row r="7" spans="1:21" ht="17.25" thickBot="1">
      <c r="A7" s="184"/>
      <c r="C7" s="209"/>
      <c r="J7" s="205"/>
      <c r="N7" s="205"/>
      <c r="Q7" s="272"/>
      <c r="R7" s="272"/>
      <c r="S7" s="272"/>
    </row>
    <row r="8" spans="1:21" ht="17.25" thickBot="1">
      <c r="A8" s="117"/>
    </row>
    <row r="9" spans="1:21">
      <c r="A9" s="183" t="s">
        <v>386</v>
      </c>
      <c r="C9" s="207" t="s">
        <v>211</v>
      </c>
      <c r="F9" s="207" t="s">
        <v>512</v>
      </c>
      <c r="G9" s="207" t="s">
        <v>514</v>
      </c>
      <c r="I9" s="203" t="s">
        <v>21</v>
      </c>
      <c r="J9" s="203" t="s">
        <v>24</v>
      </c>
      <c r="L9" s="203" t="s">
        <v>511</v>
      </c>
      <c r="M9" s="203" t="s">
        <v>515</v>
      </c>
      <c r="N9" s="203" t="s">
        <v>498</v>
      </c>
      <c r="Q9" s="271" t="s">
        <v>279</v>
      </c>
      <c r="R9" s="271" t="s">
        <v>506</v>
      </c>
      <c r="S9" s="271" t="s">
        <v>507</v>
      </c>
      <c r="T9" s="271" t="s">
        <v>366</v>
      </c>
    </row>
    <row r="10" spans="1:21" ht="17.25" thickBot="1">
      <c r="A10" s="184"/>
      <c r="C10" s="209"/>
      <c r="F10" s="209"/>
      <c r="G10" s="209"/>
      <c r="I10" s="205"/>
      <c r="J10" s="205"/>
      <c r="L10" s="205"/>
      <c r="M10" s="205"/>
      <c r="N10" s="205"/>
      <c r="Q10" s="272"/>
      <c r="R10" s="272"/>
      <c r="S10" s="272"/>
      <c r="T10" s="272"/>
    </row>
    <row r="11" spans="1:21" ht="17.25" thickBot="1">
      <c r="A11" s="117"/>
    </row>
    <row r="12" spans="1:21">
      <c r="A12" s="183" t="s">
        <v>387</v>
      </c>
      <c r="C12" s="74"/>
      <c r="D12" s="207" t="s">
        <v>271</v>
      </c>
      <c r="E12" s="207" t="s">
        <v>272</v>
      </c>
      <c r="J12" s="203" t="s">
        <v>24</v>
      </c>
      <c r="K12" s="203" t="s">
        <v>496</v>
      </c>
      <c r="N12" s="203" t="s">
        <v>498</v>
      </c>
      <c r="P12" s="271" t="s">
        <v>518</v>
      </c>
      <c r="Q12" s="271" t="s">
        <v>534</v>
      </c>
      <c r="R12" s="271" t="s">
        <v>535</v>
      </c>
      <c r="S12" s="271" t="s">
        <v>536</v>
      </c>
    </row>
    <row r="13" spans="1:21" ht="17.25" thickBot="1">
      <c r="A13" s="184"/>
      <c r="C13" s="74"/>
      <c r="D13" s="209"/>
      <c r="E13" s="209"/>
      <c r="J13" s="205"/>
      <c r="K13" s="205"/>
      <c r="N13" s="205"/>
      <c r="P13" s="272"/>
      <c r="Q13" s="272"/>
      <c r="R13" s="272"/>
      <c r="S13" s="272"/>
    </row>
    <row r="14" spans="1:21" ht="17.25" thickBot="1">
      <c r="A14" s="117"/>
      <c r="C14" s="74"/>
    </row>
    <row r="15" spans="1:21">
      <c r="A15" s="183" t="s">
        <v>388</v>
      </c>
      <c r="C15" s="207" t="s">
        <v>211</v>
      </c>
      <c r="G15" s="207" t="s">
        <v>514</v>
      </c>
      <c r="I15" s="203" t="s">
        <v>21</v>
      </c>
      <c r="J15" s="203" t="s">
        <v>24</v>
      </c>
      <c r="M15" s="203" t="s">
        <v>515</v>
      </c>
      <c r="N15" s="203" t="s">
        <v>527</v>
      </c>
      <c r="Q15" s="271" t="s">
        <v>279</v>
      </c>
      <c r="R15" s="271" t="s">
        <v>506</v>
      </c>
      <c r="S15" s="271" t="s">
        <v>529</v>
      </c>
    </row>
    <row r="16" spans="1:21" ht="17.25" thickBot="1">
      <c r="A16" s="184"/>
      <c r="C16" s="209"/>
      <c r="G16" s="209"/>
      <c r="I16" s="205"/>
      <c r="J16" s="205"/>
      <c r="M16" s="205"/>
      <c r="N16" s="205"/>
      <c r="Q16" s="272"/>
      <c r="R16" s="272"/>
      <c r="S16" s="272"/>
    </row>
    <row r="17" spans="1:1">
      <c r="A17" s="117"/>
    </row>
  </sheetData>
  <mergeCells count="52">
    <mergeCell ref="T9:T10"/>
    <mergeCell ref="P12:P13"/>
    <mergeCell ref="Q12:Q13"/>
    <mergeCell ref="R12:R13"/>
    <mergeCell ref="S12:S13"/>
    <mergeCell ref="Q15:Q16"/>
    <mergeCell ref="R15:R16"/>
    <mergeCell ref="S15:S16"/>
    <mergeCell ref="Q6:Q7"/>
    <mergeCell ref="R6:R7"/>
    <mergeCell ref="S6:S7"/>
    <mergeCell ref="Q9:Q10"/>
    <mergeCell ref="R9:R10"/>
    <mergeCell ref="S9:S10"/>
    <mergeCell ref="N3:N4"/>
    <mergeCell ref="I1:N1"/>
    <mergeCell ref="Q3:Q4"/>
    <mergeCell ref="R3:R4"/>
    <mergeCell ref="S3:S4"/>
    <mergeCell ref="P1:U1"/>
    <mergeCell ref="M9:M10"/>
    <mergeCell ref="N9:N10"/>
    <mergeCell ref="K12:K13"/>
    <mergeCell ref="J12:J13"/>
    <mergeCell ref="N12:N13"/>
    <mergeCell ref="I15:I16"/>
    <mergeCell ref="J15:J16"/>
    <mergeCell ref="M15:M16"/>
    <mergeCell ref="N15:N16"/>
    <mergeCell ref="J3:J4"/>
    <mergeCell ref="J6:J7"/>
    <mergeCell ref="N6:N7"/>
    <mergeCell ref="I9:I10"/>
    <mergeCell ref="L9:L10"/>
    <mergeCell ref="J9:J10"/>
    <mergeCell ref="D12:D13"/>
    <mergeCell ref="E12:E13"/>
    <mergeCell ref="C15:C16"/>
    <mergeCell ref="G15:G16"/>
    <mergeCell ref="C1:G1"/>
    <mergeCell ref="K3:K4"/>
    <mergeCell ref="D3:D4"/>
    <mergeCell ref="E3:E4"/>
    <mergeCell ref="C6:C7"/>
    <mergeCell ref="C9:C10"/>
    <mergeCell ref="F9:F10"/>
    <mergeCell ref="G9:G10"/>
    <mergeCell ref="A3:A4"/>
    <mergeCell ref="A6:A7"/>
    <mergeCell ref="A9:A10"/>
    <mergeCell ref="A12:A13"/>
    <mergeCell ref="A15:A16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100"/>
  <sheetViews>
    <sheetView topLeftCell="B65" zoomScale="85" zoomScaleNormal="85" workbookViewId="0">
      <selection activeCell="I94" sqref="I94:L95"/>
    </sheetView>
  </sheetViews>
  <sheetFormatPr defaultRowHeight="16.5"/>
  <cols>
    <col min="1" max="1" width="9" style="74"/>
    <col min="2" max="2" width="13.375" style="74" bestFit="1" customWidth="1"/>
    <col min="3" max="3" width="11.625" style="74" bestFit="1" customWidth="1"/>
    <col min="4" max="4" width="23.5" style="74" bestFit="1" customWidth="1"/>
    <col min="5" max="5" width="27.375" style="74" customWidth="1"/>
    <col min="6" max="6" width="42.125" style="74" bestFit="1" customWidth="1"/>
    <col min="7" max="7" width="27.75" style="74" customWidth="1"/>
    <col min="8" max="8" width="23.5" style="74" bestFit="1" customWidth="1"/>
    <col min="9" max="9" width="13" style="74" bestFit="1" customWidth="1"/>
    <col min="10" max="10" width="24.625" style="74" customWidth="1"/>
    <col min="11" max="11" width="15.125" style="74" bestFit="1" customWidth="1"/>
    <col min="12" max="12" width="23.5" style="74" bestFit="1" customWidth="1"/>
    <col min="13" max="15" width="13" style="74" bestFit="1" customWidth="1"/>
    <col min="16" max="17" width="23.5" style="74" bestFit="1" customWidth="1"/>
    <col min="18" max="18" width="19.25" style="74" bestFit="1" customWidth="1"/>
    <col min="19" max="19" width="17.25" style="74" bestFit="1" customWidth="1"/>
    <col min="20" max="20" width="35.375" style="74" customWidth="1"/>
    <col min="21" max="22" width="13" style="74" bestFit="1" customWidth="1"/>
    <col min="23" max="23" width="15.125" style="74" bestFit="1" customWidth="1"/>
    <col min="24" max="24" width="13.375" style="158" bestFit="1" customWidth="1"/>
    <col min="25" max="25" width="19.25" style="74" bestFit="1" customWidth="1"/>
    <col min="26" max="26" width="15.125" style="74" bestFit="1" customWidth="1"/>
    <col min="27" max="27" width="11" style="158" bestFit="1" customWidth="1"/>
    <col min="28" max="28" width="9" style="74"/>
    <col min="29" max="30" width="21.375" style="74" bestFit="1" customWidth="1"/>
    <col min="31" max="31" width="19.25" style="74" bestFit="1" customWidth="1"/>
    <col min="32" max="32" width="40" style="74" customWidth="1"/>
    <col min="33" max="33" width="42.5" style="74" customWidth="1"/>
    <col min="34" max="34" width="13" style="74" bestFit="1" customWidth="1"/>
    <col min="35" max="35" width="13.375" style="74" bestFit="1" customWidth="1"/>
    <col min="36" max="36" width="11" style="74" bestFit="1" customWidth="1"/>
    <col min="37" max="38" width="9" style="74"/>
    <col min="39" max="39" width="10.5" style="74" bestFit="1" customWidth="1"/>
    <col min="40" max="40" width="15.125" style="74" bestFit="1" customWidth="1"/>
    <col min="41" max="41" width="9" style="74"/>
    <col min="42" max="42" width="13.375" style="74" bestFit="1" customWidth="1"/>
    <col min="43" max="43" width="11.625" style="74" bestFit="1" customWidth="1"/>
    <col min="44" max="44" width="27" style="74" bestFit="1" customWidth="1"/>
    <col min="45" max="45" width="11.625" style="74" bestFit="1" customWidth="1"/>
    <col min="46" max="47" width="10.5" style="74" bestFit="1" customWidth="1"/>
    <col min="48" max="48" width="9" style="74"/>
    <col min="49" max="49" width="19.25" style="74" customWidth="1"/>
    <col min="50" max="50" width="19.25" style="74" bestFit="1" customWidth="1"/>
    <col min="51" max="51" width="23.5" style="74" bestFit="1" customWidth="1"/>
    <col min="52" max="52" width="9" style="74"/>
    <col min="53" max="53" width="11.625" style="74" bestFit="1" customWidth="1"/>
    <col min="54" max="54" width="9" style="74"/>
    <col min="55" max="55" width="17.5" style="74" customWidth="1"/>
    <col min="56" max="56" width="18.375" style="74" customWidth="1"/>
    <col min="57" max="57" width="13" style="74" bestFit="1" customWidth="1"/>
    <col min="58" max="16384" width="9" style="74"/>
  </cols>
  <sheetData>
    <row r="1" spans="1:57" ht="17.25" thickBot="1">
      <c r="A1" s="151" t="s">
        <v>361</v>
      </c>
    </row>
    <row r="2" spans="1:57" ht="57.75" customHeight="1">
      <c r="A2" s="152" t="s">
        <v>289</v>
      </c>
      <c r="B2" s="169" t="s">
        <v>270</v>
      </c>
      <c r="C2" s="207" t="s">
        <v>290</v>
      </c>
      <c r="D2" s="207" t="s">
        <v>407</v>
      </c>
      <c r="E2" s="207" t="s">
        <v>292</v>
      </c>
      <c r="F2" s="207" t="s">
        <v>293</v>
      </c>
      <c r="G2" s="207" t="s">
        <v>294</v>
      </c>
      <c r="H2" s="207" t="s">
        <v>408</v>
      </c>
      <c r="I2" s="207" t="s">
        <v>409</v>
      </c>
      <c r="J2" s="207" t="s">
        <v>297</v>
      </c>
      <c r="K2" s="207" t="s">
        <v>298</v>
      </c>
      <c r="L2" s="207" t="s">
        <v>299</v>
      </c>
      <c r="M2" s="207" t="s">
        <v>410</v>
      </c>
      <c r="N2" s="207" t="s">
        <v>300</v>
      </c>
      <c r="O2" s="207" t="s">
        <v>302</v>
      </c>
      <c r="P2" s="207" t="s">
        <v>303</v>
      </c>
      <c r="Q2" s="207" t="s">
        <v>304</v>
      </c>
      <c r="R2" s="207" t="s">
        <v>306</v>
      </c>
      <c r="S2" s="207" t="s">
        <v>307</v>
      </c>
      <c r="T2" s="207" t="s">
        <v>411</v>
      </c>
      <c r="U2" s="207" t="s">
        <v>308</v>
      </c>
      <c r="V2" s="207" t="s">
        <v>309</v>
      </c>
      <c r="W2" s="207" t="s">
        <v>310</v>
      </c>
      <c r="X2" s="211" t="s">
        <v>104</v>
      </c>
      <c r="Y2" s="203" t="s">
        <v>412</v>
      </c>
      <c r="Z2" s="203" t="s">
        <v>312</v>
      </c>
      <c r="AA2" s="203" t="s">
        <v>313</v>
      </c>
      <c r="AB2" s="203" t="s">
        <v>413</v>
      </c>
      <c r="AC2" s="203" t="s">
        <v>315</v>
      </c>
      <c r="AD2" s="203" t="s">
        <v>317</v>
      </c>
      <c r="AE2" s="203" t="s">
        <v>318</v>
      </c>
      <c r="AF2" s="203" t="s">
        <v>319</v>
      </c>
      <c r="AG2" s="203" t="s">
        <v>320</v>
      </c>
      <c r="AH2" s="203" t="s">
        <v>414</v>
      </c>
      <c r="AI2" s="203" t="s">
        <v>415</v>
      </c>
      <c r="AJ2" s="203" t="s">
        <v>323</v>
      </c>
      <c r="AK2" s="203" t="s">
        <v>325</v>
      </c>
      <c r="AL2" s="203" t="s">
        <v>324</v>
      </c>
      <c r="AM2" s="203" t="s">
        <v>326</v>
      </c>
      <c r="AN2" s="203" t="s">
        <v>327</v>
      </c>
      <c r="AO2" s="203" t="s">
        <v>328</v>
      </c>
      <c r="AP2" s="211" t="s">
        <v>123</v>
      </c>
      <c r="AQ2" s="200" t="s">
        <v>329</v>
      </c>
      <c r="AR2" s="200" t="s">
        <v>416</v>
      </c>
      <c r="AS2" s="200" t="s">
        <v>330</v>
      </c>
      <c r="AT2" s="200" t="s">
        <v>331</v>
      </c>
      <c r="AU2" s="200" t="s">
        <v>332</v>
      </c>
      <c r="AV2" s="200" t="s">
        <v>333</v>
      </c>
      <c r="AW2" s="200" t="s">
        <v>417</v>
      </c>
      <c r="AX2" s="200" t="s">
        <v>334</v>
      </c>
      <c r="AY2" s="200" t="s">
        <v>418</v>
      </c>
      <c r="AZ2" s="200" t="s">
        <v>336</v>
      </c>
      <c r="BA2" s="200" t="s">
        <v>337</v>
      </c>
      <c r="BB2" s="200" t="s">
        <v>338</v>
      </c>
      <c r="BC2" s="200" t="s">
        <v>340</v>
      </c>
      <c r="BD2" s="200" t="s">
        <v>339</v>
      </c>
      <c r="BE2" s="200" t="s">
        <v>419</v>
      </c>
    </row>
    <row r="3" spans="1:57" ht="17.25" thickBot="1">
      <c r="A3" s="153" t="s">
        <v>207</v>
      </c>
      <c r="B3" s="170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13"/>
      <c r="Y3" s="205"/>
      <c r="Z3" s="205"/>
      <c r="AA3" s="205"/>
      <c r="AB3" s="205"/>
      <c r="AC3" s="205"/>
      <c r="AD3" s="205"/>
      <c r="AE3" s="205"/>
      <c r="AF3" s="205"/>
      <c r="AG3" s="205"/>
      <c r="AH3" s="205"/>
      <c r="AI3" s="205"/>
      <c r="AJ3" s="205"/>
      <c r="AK3" s="205"/>
      <c r="AL3" s="205"/>
      <c r="AM3" s="205"/>
      <c r="AN3" s="205"/>
      <c r="AO3" s="205"/>
      <c r="AP3" s="213"/>
      <c r="AQ3" s="201"/>
      <c r="AR3" s="201"/>
      <c r="AS3" s="201"/>
      <c r="AT3" s="201"/>
      <c r="AU3" s="201"/>
      <c r="AV3" s="201"/>
      <c r="AW3" s="201"/>
      <c r="AX3" s="201"/>
      <c r="AY3" s="201"/>
      <c r="AZ3" s="201"/>
      <c r="BA3" s="201"/>
      <c r="BB3" s="201"/>
      <c r="BC3" s="201"/>
      <c r="BD3" s="201"/>
      <c r="BE3" s="201"/>
    </row>
    <row r="4" spans="1:57" ht="18.75" customHeight="1" thickBot="1">
      <c r="A4" s="214">
        <v>2801</v>
      </c>
      <c r="B4" s="154" t="s">
        <v>396</v>
      </c>
      <c r="C4" s="155">
        <v>26452525</v>
      </c>
      <c r="D4" s="155">
        <v>235739431</v>
      </c>
      <c r="E4" s="155">
        <v>14581474</v>
      </c>
      <c r="F4" s="155">
        <v>122695821</v>
      </c>
      <c r="G4" s="155">
        <v>345283447</v>
      </c>
      <c r="H4" s="155">
        <v>231693</v>
      </c>
      <c r="I4" s="156" t="s">
        <v>288</v>
      </c>
      <c r="J4" s="155">
        <v>21481338</v>
      </c>
      <c r="K4" s="155">
        <v>396516</v>
      </c>
      <c r="L4" s="156" t="s">
        <v>288</v>
      </c>
      <c r="M4" s="156" t="s">
        <v>288</v>
      </c>
      <c r="N4" s="155">
        <v>1477886845</v>
      </c>
      <c r="O4" s="156" t="s">
        <v>288</v>
      </c>
      <c r="P4" s="156" t="s">
        <v>288</v>
      </c>
      <c r="Q4" s="155">
        <v>25590786</v>
      </c>
      <c r="R4" s="155">
        <v>20908603</v>
      </c>
      <c r="S4" s="155">
        <v>1519247</v>
      </c>
      <c r="T4" s="155">
        <v>13858910</v>
      </c>
      <c r="U4" s="155">
        <v>687613</v>
      </c>
      <c r="V4" s="155">
        <v>3379099</v>
      </c>
      <c r="W4" s="155">
        <v>2746871</v>
      </c>
      <c r="X4" s="155">
        <v>2313440219</v>
      </c>
      <c r="Y4" s="155">
        <v>103221627</v>
      </c>
      <c r="Z4" s="155">
        <v>14829050</v>
      </c>
      <c r="AA4" s="155">
        <v>7293565</v>
      </c>
      <c r="AB4" s="156" t="s">
        <v>288</v>
      </c>
      <c r="AC4" s="155">
        <v>1226633</v>
      </c>
      <c r="AD4" s="155">
        <v>22237409</v>
      </c>
      <c r="AE4" s="155">
        <v>841436</v>
      </c>
      <c r="AF4" s="156" t="s">
        <v>288</v>
      </c>
      <c r="AG4" s="155">
        <v>1917987149</v>
      </c>
      <c r="AH4" s="155">
        <v>61351032</v>
      </c>
      <c r="AI4" s="156" t="s">
        <v>288</v>
      </c>
      <c r="AJ4" s="156" t="s">
        <v>288</v>
      </c>
      <c r="AK4" s="155">
        <v>1949149</v>
      </c>
      <c r="AL4" s="155">
        <v>5316038</v>
      </c>
      <c r="AM4" s="155">
        <v>1343548</v>
      </c>
      <c r="AN4" s="155">
        <v>8301861</v>
      </c>
      <c r="AO4" s="155">
        <v>2487932</v>
      </c>
      <c r="AP4" s="155">
        <v>2148386429</v>
      </c>
      <c r="AQ4" s="155">
        <v>103847236</v>
      </c>
      <c r="AR4" s="156" t="s">
        <v>288</v>
      </c>
      <c r="AS4" s="156" t="s">
        <v>288</v>
      </c>
      <c r="AT4" s="155">
        <v>57352741</v>
      </c>
      <c r="AU4" s="155">
        <v>3853813</v>
      </c>
      <c r="AV4" s="156">
        <v>0</v>
      </c>
      <c r="AW4" s="155">
        <v>165053790</v>
      </c>
      <c r="AX4" s="156" t="s">
        <v>288</v>
      </c>
      <c r="AY4" s="156" t="s">
        <v>288</v>
      </c>
      <c r="AZ4" s="156" t="s">
        <v>288</v>
      </c>
      <c r="BA4" s="155">
        <v>165053790</v>
      </c>
      <c r="BB4" s="156" t="s">
        <v>288</v>
      </c>
      <c r="BC4" s="156">
        <v>0</v>
      </c>
      <c r="BD4" s="156">
        <v>0</v>
      </c>
      <c r="BE4" s="156">
        <v>15.89</v>
      </c>
    </row>
    <row r="5" spans="1:57" s="117" customFormat="1" ht="18.75" customHeight="1">
      <c r="A5" s="216" t="s">
        <v>446</v>
      </c>
      <c r="B5" s="270">
        <f>SUM(C4:W4)</f>
        <v>2313440219</v>
      </c>
      <c r="C5" s="217"/>
      <c r="D5" s="217"/>
      <c r="E5" s="217"/>
      <c r="F5" s="217"/>
      <c r="G5" s="217"/>
      <c r="H5" s="217"/>
      <c r="I5" s="218"/>
      <c r="J5" s="217"/>
      <c r="K5" s="217"/>
      <c r="L5" s="218"/>
      <c r="M5" s="218"/>
      <c r="N5" s="217"/>
      <c r="O5" s="218"/>
      <c r="P5" s="218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8"/>
      <c r="AC5" s="217"/>
      <c r="AD5" s="217"/>
      <c r="AE5" s="217"/>
      <c r="AF5" s="218"/>
      <c r="AG5" s="217"/>
      <c r="AH5" s="217"/>
      <c r="AI5" s="218"/>
      <c r="AJ5" s="218"/>
      <c r="AK5" s="217"/>
      <c r="AL5" s="217"/>
      <c r="AM5" s="217"/>
      <c r="AN5" s="217"/>
      <c r="AO5" s="217"/>
      <c r="AP5" s="217"/>
      <c r="AQ5" s="217"/>
      <c r="AR5" s="218"/>
      <c r="AS5" s="218"/>
      <c r="AT5" s="217"/>
      <c r="AU5" s="217"/>
      <c r="AV5" s="218"/>
      <c r="AW5" s="217"/>
      <c r="AX5" s="218"/>
      <c r="AY5" s="218"/>
      <c r="AZ5" s="218"/>
      <c r="BA5" s="217"/>
      <c r="BB5" s="218"/>
      <c r="BC5" s="218"/>
      <c r="BD5" s="218"/>
      <c r="BE5" s="218"/>
    </row>
    <row r="6" spans="1:57">
      <c r="A6" s="215" t="s">
        <v>447</v>
      </c>
      <c r="B6" s="116">
        <f>SUM(Y4:AO4)</f>
        <v>2148386429</v>
      </c>
    </row>
    <row r="7" spans="1:57" s="117" customFormat="1">
      <c r="A7" s="215" t="s">
        <v>448</v>
      </c>
      <c r="B7" s="270">
        <f>AQ4</f>
        <v>103847236</v>
      </c>
      <c r="C7" s="217"/>
      <c r="D7" s="217"/>
      <c r="E7" s="217"/>
      <c r="F7" s="217"/>
      <c r="G7" s="217"/>
      <c r="H7" s="217"/>
      <c r="I7" s="217"/>
      <c r="J7" s="218"/>
      <c r="K7" s="217"/>
      <c r="L7" s="217"/>
      <c r="M7" s="217"/>
      <c r="N7" s="218"/>
      <c r="O7" s="217"/>
      <c r="P7" s="218"/>
      <c r="Q7" s="218"/>
      <c r="R7" s="217"/>
      <c r="S7" s="217"/>
      <c r="T7" s="218"/>
      <c r="U7" s="218"/>
      <c r="V7" s="218"/>
      <c r="W7" s="218"/>
    </row>
    <row r="8" spans="1:57" s="117" customFormat="1">
      <c r="A8" s="215" t="s">
        <v>449</v>
      </c>
      <c r="B8" s="273">
        <f>10*(B5-B6)/B7</f>
        <v>15.893903040423725</v>
      </c>
      <c r="C8" s="217"/>
      <c r="D8" s="217"/>
      <c r="E8" s="217"/>
      <c r="F8" s="217"/>
      <c r="G8" s="217"/>
      <c r="H8" s="217"/>
      <c r="I8" s="217"/>
      <c r="J8" s="218"/>
      <c r="K8" s="217"/>
      <c r="L8" s="217"/>
      <c r="M8" s="217"/>
      <c r="N8" s="218"/>
      <c r="O8" s="217"/>
      <c r="P8" s="218"/>
      <c r="Q8" s="218"/>
      <c r="R8" s="217"/>
      <c r="S8" s="217"/>
      <c r="T8" s="218"/>
      <c r="U8" s="218"/>
      <c r="V8" s="218"/>
      <c r="W8" s="218"/>
    </row>
    <row r="9" spans="1:57" ht="17.25" thickBot="1">
      <c r="A9" s="174"/>
      <c r="B9" s="116"/>
    </row>
    <row r="10" spans="1:57" s="117" customFormat="1" ht="17.25" thickBot="1">
      <c r="A10" s="274" t="s">
        <v>380</v>
      </c>
      <c r="X10" s="157"/>
      <c r="AA10" s="157"/>
    </row>
    <row r="11" spans="1:57" ht="57.75" customHeight="1">
      <c r="A11" s="160" t="s">
        <v>289</v>
      </c>
      <c r="B11" s="172" t="s">
        <v>270</v>
      </c>
      <c r="C11" s="207" t="s">
        <v>89</v>
      </c>
      <c r="D11" s="207" t="s">
        <v>420</v>
      </c>
      <c r="E11" s="211" t="s">
        <v>421</v>
      </c>
      <c r="F11" s="203" t="s">
        <v>114</v>
      </c>
      <c r="G11" s="203" t="s">
        <v>422</v>
      </c>
      <c r="H11" s="211" t="s">
        <v>423</v>
      </c>
      <c r="I11" s="275" t="s">
        <v>329</v>
      </c>
      <c r="J11" s="275" t="s">
        <v>424</v>
      </c>
      <c r="K11" s="275" t="s">
        <v>330</v>
      </c>
      <c r="L11" s="275" t="s">
        <v>425</v>
      </c>
      <c r="M11" s="275" t="s">
        <v>332</v>
      </c>
      <c r="N11" s="275" t="s">
        <v>333</v>
      </c>
      <c r="O11" s="275" t="s">
        <v>426</v>
      </c>
      <c r="P11" s="275" t="s">
        <v>334</v>
      </c>
      <c r="Q11" s="275" t="s">
        <v>418</v>
      </c>
      <c r="R11" s="275" t="s">
        <v>336</v>
      </c>
      <c r="S11" s="275" t="s">
        <v>427</v>
      </c>
      <c r="T11" s="275" t="s">
        <v>338</v>
      </c>
      <c r="U11" s="275" t="s">
        <v>339</v>
      </c>
      <c r="V11" s="275" t="s">
        <v>428</v>
      </c>
      <c r="W11" s="275" t="s">
        <v>419</v>
      </c>
      <c r="X11" s="74"/>
      <c r="AA11" s="74"/>
    </row>
    <row r="12" spans="1:57" ht="17.25" thickBot="1">
      <c r="A12" s="161" t="s">
        <v>207</v>
      </c>
      <c r="B12" s="173"/>
      <c r="C12" s="209"/>
      <c r="D12" s="209"/>
      <c r="E12" s="213"/>
      <c r="F12" s="205"/>
      <c r="G12" s="205"/>
      <c r="H12" s="213"/>
      <c r="I12" s="276"/>
      <c r="J12" s="276"/>
      <c r="K12" s="276"/>
      <c r="L12" s="276"/>
      <c r="M12" s="276"/>
      <c r="N12" s="276"/>
      <c r="O12" s="276"/>
      <c r="P12" s="276"/>
      <c r="Q12" s="276"/>
      <c r="R12" s="276"/>
      <c r="S12" s="276"/>
      <c r="T12" s="276"/>
      <c r="U12" s="276"/>
      <c r="V12" s="276"/>
      <c r="W12" s="276"/>
      <c r="X12" s="74"/>
      <c r="AA12" s="74"/>
    </row>
    <row r="13" spans="1:57" ht="17.25" thickBot="1">
      <c r="A13" s="111">
        <v>2855</v>
      </c>
      <c r="B13" s="111" t="s">
        <v>397</v>
      </c>
      <c r="C13" s="112">
        <v>105321883</v>
      </c>
      <c r="D13" s="112">
        <v>8389882</v>
      </c>
      <c r="E13" s="112">
        <v>113711765</v>
      </c>
      <c r="F13" s="112">
        <v>84087688</v>
      </c>
      <c r="G13" s="112">
        <v>144595</v>
      </c>
      <c r="H13" s="112">
        <v>84232283</v>
      </c>
      <c r="I13" s="112">
        <v>13998378</v>
      </c>
      <c r="J13" s="113" t="s">
        <v>288</v>
      </c>
      <c r="K13" s="112">
        <v>91261</v>
      </c>
      <c r="L13" s="112">
        <v>14483188</v>
      </c>
      <c r="M13" s="112">
        <v>834488</v>
      </c>
      <c r="N13" s="113">
        <v>0</v>
      </c>
      <c r="O13" s="112">
        <v>29407315</v>
      </c>
      <c r="P13" s="113" t="s">
        <v>288</v>
      </c>
      <c r="Q13" s="113" t="s">
        <v>288</v>
      </c>
      <c r="R13" s="112">
        <v>72167</v>
      </c>
      <c r="S13" s="112">
        <v>29479482</v>
      </c>
      <c r="T13" s="113">
        <v>0</v>
      </c>
      <c r="U13" s="113">
        <v>0</v>
      </c>
      <c r="V13" s="113">
        <v>0</v>
      </c>
      <c r="W13" s="113">
        <v>21.01</v>
      </c>
      <c r="X13" s="74"/>
      <c r="AA13" s="74"/>
    </row>
    <row r="14" spans="1:57" s="117" customFormat="1">
      <c r="A14" s="216" t="s">
        <v>446</v>
      </c>
      <c r="B14" s="270">
        <f>SUM(C13:D13)</f>
        <v>113711765</v>
      </c>
      <c r="C14" s="217"/>
      <c r="D14" s="217"/>
      <c r="E14" s="217"/>
      <c r="F14" s="217"/>
      <c r="G14" s="217"/>
      <c r="H14" s="217"/>
      <c r="I14" s="217"/>
      <c r="J14" s="218"/>
      <c r="K14" s="217"/>
      <c r="L14" s="217"/>
      <c r="M14" s="217"/>
      <c r="N14" s="218"/>
      <c r="O14" s="217"/>
      <c r="P14" s="218"/>
      <c r="Q14" s="218"/>
      <c r="R14" s="217"/>
      <c r="S14" s="217"/>
      <c r="T14" s="218"/>
      <c r="U14" s="218"/>
      <c r="V14" s="218"/>
      <c r="W14" s="218"/>
    </row>
    <row r="15" spans="1:57" s="117" customFormat="1">
      <c r="A15" s="215" t="s">
        <v>447</v>
      </c>
      <c r="B15" s="270">
        <f>SUM(F13:G13)</f>
        <v>84232283</v>
      </c>
      <c r="C15" s="217"/>
      <c r="D15" s="217"/>
      <c r="E15" s="217"/>
      <c r="F15" s="217"/>
      <c r="G15" s="217"/>
      <c r="H15" s="217"/>
      <c r="I15" s="217"/>
      <c r="J15" s="218"/>
      <c r="K15" s="217"/>
      <c r="L15" s="217"/>
      <c r="M15" s="217"/>
      <c r="N15" s="218"/>
      <c r="O15" s="217"/>
      <c r="P15" s="218"/>
      <c r="Q15" s="218"/>
      <c r="R15" s="217"/>
      <c r="S15" s="217"/>
      <c r="T15" s="218"/>
      <c r="U15" s="218"/>
      <c r="V15" s="218"/>
      <c r="W15" s="218"/>
    </row>
    <row r="16" spans="1:57" s="117" customFormat="1">
      <c r="A16" s="215" t="s">
        <v>448</v>
      </c>
      <c r="B16" s="270">
        <f>I13</f>
        <v>13998378</v>
      </c>
      <c r="C16" s="217"/>
      <c r="D16" s="217"/>
      <c r="E16" s="217"/>
      <c r="F16" s="217"/>
      <c r="G16" s="217"/>
      <c r="H16" s="217"/>
      <c r="I16" s="217"/>
      <c r="J16" s="218"/>
      <c r="K16" s="217"/>
      <c r="L16" s="217"/>
      <c r="M16" s="217"/>
      <c r="N16" s="218"/>
      <c r="O16" s="217"/>
      <c r="P16" s="218"/>
      <c r="Q16" s="218"/>
      <c r="R16" s="217"/>
      <c r="S16" s="217"/>
      <c r="T16" s="218"/>
      <c r="U16" s="218"/>
      <c r="V16" s="218"/>
      <c r="W16" s="218"/>
    </row>
    <row r="17" spans="1:57" s="117" customFormat="1">
      <c r="A17" s="215" t="s">
        <v>449</v>
      </c>
      <c r="B17" s="273">
        <f>10*(B14-B15)/B16</f>
        <v>21.059212717359109</v>
      </c>
      <c r="C17" s="217"/>
      <c r="D17" s="217"/>
      <c r="E17" s="217"/>
      <c r="F17" s="217"/>
      <c r="G17" s="217"/>
      <c r="H17" s="217"/>
      <c r="I17" s="217"/>
      <c r="J17" s="218"/>
      <c r="K17" s="217"/>
      <c r="L17" s="217"/>
      <c r="M17" s="217"/>
      <c r="N17" s="218"/>
      <c r="O17" s="217"/>
      <c r="P17" s="218"/>
      <c r="Q17" s="218"/>
      <c r="R17" s="217"/>
      <c r="S17" s="217"/>
      <c r="T17" s="218"/>
      <c r="U17" s="218"/>
      <c r="V17" s="218"/>
      <c r="W17" s="218"/>
    </row>
    <row r="18" spans="1:57" ht="17.25" thickBot="1">
      <c r="B18" s="116"/>
    </row>
    <row r="19" spans="1:57" ht="17.25" thickBot="1">
      <c r="A19" s="274" t="s">
        <v>386</v>
      </c>
    </row>
    <row r="20" spans="1:57" ht="57.75" customHeight="1">
      <c r="A20" s="160" t="s">
        <v>289</v>
      </c>
      <c r="B20" s="172" t="s">
        <v>270</v>
      </c>
      <c r="C20" s="207" t="s">
        <v>89</v>
      </c>
      <c r="D20" s="207" t="s">
        <v>420</v>
      </c>
      <c r="E20" s="211" t="s">
        <v>421</v>
      </c>
      <c r="F20" s="203" t="s">
        <v>114</v>
      </c>
      <c r="G20" s="203" t="s">
        <v>422</v>
      </c>
      <c r="H20" s="211" t="s">
        <v>423</v>
      </c>
      <c r="I20" s="275" t="s">
        <v>329</v>
      </c>
      <c r="J20" s="275" t="s">
        <v>416</v>
      </c>
      <c r="K20" s="275" t="s">
        <v>330</v>
      </c>
      <c r="L20" s="275" t="s">
        <v>331</v>
      </c>
      <c r="M20" s="275" t="s">
        <v>332</v>
      </c>
      <c r="N20" s="275" t="s">
        <v>333</v>
      </c>
      <c r="O20" s="275" t="s">
        <v>417</v>
      </c>
      <c r="P20" s="275" t="s">
        <v>334</v>
      </c>
      <c r="Q20" s="275" t="s">
        <v>418</v>
      </c>
      <c r="R20" s="275" t="s">
        <v>336</v>
      </c>
      <c r="S20" s="275" t="s">
        <v>427</v>
      </c>
      <c r="T20" s="275" t="s">
        <v>338</v>
      </c>
      <c r="U20" s="275" t="s">
        <v>339</v>
      </c>
      <c r="V20" s="275" t="s">
        <v>340</v>
      </c>
      <c r="W20" s="275" t="s">
        <v>419</v>
      </c>
      <c r="X20" s="74"/>
      <c r="AA20" s="74"/>
    </row>
    <row r="21" spans="1:57" ht="17.25" thickBot="1">
      <c r="A21" s="161" t="s">
        <v>207</v>
      </c>
      <c r="B21" s="173"/>
      <c r="C21" s="209"/>
      <c r="D21" s="209"/>
      <c r="E21" s="213"/>
      <c r="F21" s="205"/>
      <c r="G21" s="205"/>
      <c r="H21" s="213"/>
      <c r="I21" s="276"/>
      <c r="J21" s="276"/>
      <c r="K21" s="276"/>
      <c r="L21" s="276"/>
      <c r="M21" s="276"/>
      <c r="N21" s="276"/>
      <c r="O21" s="276"/>
      <c r="P21" s="276"/>
      <c r="Q21" s="276"/>
      <c r="R21" s="276"/>
      <c r="S21" s="276"/>
      <c r="T21" s="276"/>
      <c r="U21" s="276"/>
      <c r="V21" s="276"/>
      <c r="W21" s="276"/>
      <c r="X21" s="74"/>
      <c r="AA21" s="74"/>
    </row>
    <row r="22" spans="1:57" ht="17.25" thickBot="1">
      <c r="A22" s="154">
        <v>1101</v>
      </c>
      <c r="B22" s="154" t="s">
        <v>398</v>
      </c>
      <c r="C22" s="155">
        <v>124309171</v>
      </c>
      <c r="D22" s="155">
        <v>265197065</v>
      </c>
      <c r="E22" s="155">
        <v>389506236</v>
      </c>
      <c r="F22" s="155">
        <v>72103708</v>
      </c>
      <c r="G22" s="155">
        <v>98572475</v>
      </c>
      <c r="H22" s="155">
        <v>170676183</v>
      </c>
      <c r="I22" s="155">
        <v>60102549</v>
      </c>
      <c r="J22" s="156" t="s">
        <v>288</v>
      </c>
      <c r="K22" s="155">
        <v>49122450</v>
      </c>
      <c r="L22" s="155">
        <v>74199518</v>
      </c>
      <c r="M22" s="155">
        <v>21146991</v>
      </c>
      <c r="N22" s="155">
        <v>-499691</v>
      </c>
      <c r="O22" s="155">
        <v>204071817</v>
      </c>
      <c r="P22" s="156" t="s">
        <v>288</v>
      </c>
      <c r="Q22" s="156" t="s">
        <v>288</v>
      </c>
      <c r="R22" s="155">
        <v>14758236</v>
      </c>
      <c r="S22" s="155">
        <v>218830053</v>
      </c>
      <c r="T22" s="156" t="s">
        <v>288</v>
      </c>
      <c r="U22" s="156">
        <v>0</v>
      </c>
      <c r="V22" s="155">
        <v>11521600</v>
      </c>
      <c r="W22" s="156">
        <v>34.409999999999997</v>
      </c>
      <c r="X22" s="74"/>
      <c r="AA22" s="74"/>
    </row>
    <row r="23" spans="1:57" s="117" customFormat="1">
      <c r="A23" s="216" t="s">
        <v>446</v>
      </c>
      <c r="B23" s="270">
        <f>SUM(C22:D22)</f>
        <v>389506236</v>
      </c>
      <c r="C23" s="217"/>
      <c r="D23" s="217"/>
      <c r="E23" s="217"/>
      <c r="F23" s="217"/>
      <c r="G23" s="217"/>
      <c r="H23" s="217"/>
      <c r="I23" s="217"/>
      <c r="J23" s="218"/>
      <c r="K23" s="217"/>
      <c r="L23" s="217"/>
      <c r="M23" s="217"/>
      <c r="N23" s="217"/>
      <c r="O23" s="217"/>
      <c r="P23" s="218"/>
      <c r="Q23" s="218"/>
      <c r="R23" s="217"/>
      <c r="S23" s="217"/>
      <c r="T23" s="218"/>
      <c r="U23" s="218"/>
      <c r="V23" s="217"/>
      <c r="W23" s="218"/>
    </row>
    <row r="24" spans="1:57" s="117" customFormat="1">
      <c r="A24" s="215" t="s">
        <v>447</v>
      </c>
      <c r="B24" s="270">
        <f>SUM(F22:G22)</f>
        <v>170676183</v>
      </c>
      <c r="C24" s="217"/>
      <c r="D24" s="217"/>
      <c r="E24" s="217"/>
      <c r="F24" s="217"/>
      <c r="G24" s="217"/>
      <c r="H24" s="217"/>
      <c r="I24" s="217"/>
      <c r="J24" s="218"/>
      <c r="K24" s="217"/>
      <c r="L24" s="217"/>
      <c r="M24" s="217"/>
      <c r="N24" s="217"/>
      <c r="O24" s="217"/>
      <c r="P24" s="218"/>
      <c r="Q24" s="218"/>
      <c r="R24" s="217"/>
      <c r="S24" s="217"/>
      <c r="T24" s="218"/>
      <c r="U24" s="218"/>
      <c r="V24" s="217"/>
      <c r="W24" s="218"/>
    </row>
    <row r="25" spans="1:57" s="117" customFormat="1">
      <c r="A25" s="215" t="s">
        <v>448</v>
      </c>
      <c r="B25" s="270">
        <f>I22</f>
        <v>60102549</v>
      </c>
      <c r="C25" s="217"/>
      <c r="D25" s="217"/>
      <c r="E25" s="217"/>
      <c r="F25" s="217"/>
      <c r="G25" s="217"/>
      <c r="H25" s="217"/>
      <c r="I25" s="217"/>
      <c r="J25" s="218"/>
      <c r="K25" s="217"/>
      <c r="L25" s="217"/>
      <c r="M25" s="217"/>
      <c r="N25" s="218"/>
      <c r="O25" s="217"/>
      <c r="P25" s="218"/>
      <c r="Q25" s="218"/>
      <c r="R25" s="217"/>
      <c r="S25" s="217"/>
      <c r="T25" s="218"/>
      <c r="U25" s="218"/>
      <c r="V25" s="218"/>
      <c r="W25" s="218"/>
    </row>
    <row r="26" spans="1:57" s="117" customFormat="1">
      <c r="A26" s="215" t="s">
        <v>449</v>
      </c>
      <c r="B26" s="273">
        <f>10*(B23-B24)/B25</f>
        <v>36.409446294865134</v>
      </c>
      <c r="C26" s="217"/>
      <c r="D26" s="217"/>
      <c r="E26" s="217"/>
      <c r="F26" s="217"/>
      <c r="G26" s="217"/>
      <c r="H26" s="217"/>
      <c r="I26" s="217"/>
      <c r="J26" s="218"/>
      <c r="K26" s="217"/>
      <c r="L26" s="217"/>
      <c r="M26" s="217"/>
      <c r="N26" s="218"/>
      <c r="O26" s="217"/>
      <c r="P26" s="218"/>
      <c r="Q26" s="218"/>
      <c r="R26" s="217"/>
      <c r="S26" s="217"/>
      <c r="T26" s="218"/>
      <c r="U26" s="218"/>
      <c r="V26" s="218"/>
      <c r="W26" s="218"/>
    </row>
    <row r="27" spans="1:57" ht="17.25" thickBot="1">
      <c r="B27" s="116"/>
    </row>
    <row r="28" spans="1:57" ht="17.25" thickBot="1">
      <c r="A28" s="274" t="s">
        <v>387</v>
      </c>
    </row>
    <row r="29" spans="1:57" ht="57.75" customHeight="1">
      <c r="A29" s="277" t="s">
        <v>450</v>
      </c>
      <c r="B29" s="172" t="s">
        <v>270</v>
      </c>
      <c r="C29" s="207" t="s">
        <v>290</v>
      </c>
      <c r="D29" s="207" t="s">
        <v>291</v>
      </c>
      <c r="E29" s="207" t="s">
        <v>292</v>
      </c>
      <c r="F29" s="207" t="s">
        <v>293</v>
      </c>
      <c r="G29" s="207" t="s">
        <v>294</v>
      </c>
      <c r="H29" s="207" t="s">
        <v>295</v>
      </c>
      <c r="I29" s="207" t="s">
        <v>296</v>
      </c>
      <c r="J29" s="207" t="s">
        <v>297</v>
      </c>
      <c r="K29" s="207" t="s">
        <v>298</v>
      </c>
      <c r="L29" s="207" t="s">
        <v>299</v>
      </c>
      <c r="M29" s="207"/>
      <c r="N29" s="207" t="s">
        <v>300</v>
      </c>
      <c r="O29" s="207" t="s">
        <v>301</v>
      </c>
      <c r="P29" s="207" t="s">
        <v>302</v>
      </c>
      <c r="Q29" s="207" t="s">
        <v>303</v>
      </c>
      <c r="R29" s="207" t="s">
        <v>304</v>
      </c>
      <c r="S29" s="207" t="s">
        <v>305</v>
      </c>
      <c r="T29" s="207" t="s">
        <v>306</v>
      </c>
      <c r="U29" s="207" t="s">
        <v>307</v>
      </c>
      <c r="V29" s="207" t="s">
        <v>308</v>
      </c>
      <c r="W29" s="207" t="s">
        <v>309</v>
      </c>
      <c r="X29" s="207" t="s">
        <v>310</v>
      </c>
      <c r="Y29" s="211" t="s">
        <v>104</v>
      </c>
      <c r="Z29" s="203" t="s">
        <v>311</v>
      </c>
      <c r="AA29" s="203" t="s">
        <v>312</v>
      </c>
      <c r="AB29" s="203" t="s">
        <v>313</v>
      </c>
      <c r="AC29" s="203" t="s">
        <v>314</v>
      </c>
      <c r="AD29" s="203" t="s">
        <v>315</v>
      </c>
      <c r="AE29" s="203" t="s">
        <v>316</v>
      </c>
      <c r="AF29" s="203" t="s">
        <v>317</v>
      </c>
      <c r="AG29" s="203" t="s">
        <v>318</v>
      </c>
      <c r="AH29" s="203" t="s">
        <v>319</v>
      </c>
      <c r="AI29" s="203" t="s">
        <v>320</v>
      </c>
      <c r="AJ29" s="203" t="s">
        <v>321</v>
      </c>
      <c r="AK29" s="203" t="s">
        <v>322</v>
      </c>
      <c r="AL29" s="203" t="s">
        <v>323</v>
      </c>
      <c r="AM29" s="203" t="s">
        <v>324</v>
      </c>
      <c r="AN29" s="203" t="s">
        <v>325</v>
      </c>
      <c r="AO29" s="203" t="s">
        <v>326</v>
      </c>
      <c r="AP29" s="203" t="s">
        <v>327</v>
      </c>
      <c r="AQ29" s="203" t="s">
        <v>328</v>
      </c>
      <c r="AR29" s="269" t="s">
        <v>481</v>
      </c>
      <c r="AS29" s="275" t="s">
        <v>329</v>
      </c>
      <c r="AT29" s="275" t="s">
        <v>330</v>
      </c>
      <c r="AU29" s="275" t="s">
        <v>331</v>
      </c>
      <c r="AV29" s="275" t="s">
        <v>332</v>
      </c>
      <c r="AW29" s="275" t="s">
        <v>333</v>
      </c>
      <c r="AX29" s="275" t="s">
        <v>334</v>
      </c>
      <c r="AY29" s="275" t="s">
        <v>335</v>
      </c>
      <c r="AZ29" s="275" t="s">
        <v>336</v>
      </c>
      <c r="BA29" s="275" t="s">
        <v>337</v>
      </c>
      <c r="BB29" s="275" t="s">
        <v>338</v>
      </c>
      <c r="BC29" s="275" t="s">
        <v>339</v>
      </c>
      <c r="BD29" s="275" t="s">
        <v>340</v>
      </c>
      <c r="BE29" s="275" t="s">
        <v>419</v>
      </c>
    </row>
    <row r="30" spans="1:57" ht="17.25" thickBot="1">
      <c r="A30" s="161" t="s">
        <v>207</v>
      </c>
      <c r="B30" s="173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09"/>
      <c r="P30" s="209"/>
      <c r="Q30" s="209"/>
      <c r="R30" s="209"/>
      <c r="S30" s="209"/>
      <c r="T30" s="209"/>
      <c r="U30" s="209"/>
      <c r="V30" s="209"/>
      <c r="W30" s="209"/>
      <c r="X30" s="209"/>
      <c r="Y30" s="213"/>
      <c r="Z30" s="205"/>
      <c r="AA30" s="205"/>
      <c r="AB30" s="205"/>
      <c r="AC30" s="205"/>
      <c r="AD30" s="205"/>
      <c r="AE30" s="205"/>
      <c r="AF30" s="205"/>
      <c r="AG30" s="205"/>
      <c r="AH30" s="205"/>
      <c r="AI30" s="205"/>
      <c r="AJ30" s="205"/>
      <c r="AK30" s="205"/>
      <c r="AL30" s="205"/>
      <c r="AM30" s="205"/>
      <c r="AN30" s="205"/>
      <c r="AO30" s="205"/>
      <c r="AP30" s="205"/>
      <c r="AQ30" s="205"/>
      <c r="AR30" s="213"/>
      <c r="AS30" s="276"/>
      <c r="AT30" s="276"/>
      <c r="AU30" s="276"/>
      <c r="AV30" s="276"/>
      <c r="AW30" s="276"/>
      <c r="AX30" s="276"/>
      <c r="AY30" s="276"/>
      <c r="AZ30" s="276"/>
      <c r="BA30" s="276"/>
      <c r="BB30" s="276"/>
      <c r="BC30" s="276"/>
      <c r="BD30" s="276"/>
      <c r="BE30" s="276"/>
    </row>
    <row r="31" spans="1:57" ht="17.25" thickBot="1">
      <c r="A31" s="111">
        <v>2880</v>
      </c>
      <c r="B31" s="111" t="s">
        <v>287</v>
      </c>
      <c r="C31" s="112">
        <v>37562976</v>
      </c>
      <c r="D31" s="112">
        <v>223421083</v>
      </c>
      <c r="E31" s="112">
        <v>50884829</v>
      </c>
      <c r="F31" s="112">
        <v>241125406</v>
      </c>
      <c r="G31" s="112">
        <v>613905747</v>
      </c>
      <c r="H31" s="113" t="s">
        <v>288</v>
      </c>
      <c r="I31" s="112">
        <v>959220</v>
      </c>
      <c r="J31" s="112">
        <v>51486371</v>
      </c>
      <c r="K31" s="112">
        <v>450435</v>
      </c>
      <c r="L31" s="113" t="s">
        <v>288</v>
      </c>
      <c r="M31" s="113" t="s">
        <v>288</v>
      </c>
      <c r="N31" s="112">
        <v>1784641366</v>
      </c>
      <c r="O31" s="112">
        <v>5648093</v>
      </c>
      <c r="P31" s="112">
        <v>179552</v>
      </c>
      <c r="Q31" s="113" t="s">
        <v>288</v>
      </c>
      <c r="R31" s="112">
        <v>35667659</v>
      </c>
      <c r="S31" s="112">
        <v>11411897</v>
      </c>
      <c r="T31" s="112">
        <v>31777373</v>
      </c>
      <c r="U31" s="112">
        <v>1987287</v>
      </c>
      <c r="V31" s="112">
        <v>933108</v>
      </c>
      <c r="W31" s="112">
        <v>3432040</v>
      </c>
      <c r="X31" s="112">
        <v>5607796</v>
      </c>
      <c r="Y31" s="112">
        <v>3101082238</v>
      </c>
      <c r="Z31" s="112">
        <v>120918211</v>
      </c>
      <c r="AA31" s="112">
        <v>19091190</v>
      </c>
      <c r="AB31" s="112">
        <v>7475164</v>
      </c>
      <c r="AC31" s="113" t="s">
        <v>288</v>
      </c>
      <c r="AD31" s="112">
        <v>41957804</v>
      </c>
      <c r="AE31" s="112">
        <v>15578122</v>
      </c>
      <c r="AF31" s="112">
        <v>40262838</v>
      </c>
      <c r="AG31" s="112">
        <v>2617347</v>
      </c>
      <c r="AH31" s="113" t="s">
        <v>288</v>
      </c>
      <c r="AI31" s="112">
        <v>2524483706</v>
      </c>
      <c r="AJ31" s="112">
        <v>60688999</v>
      </c>
      <c r="AK31" s="112">
        <v>1490500</v>
      </c>
      <c r="AL31" s="113" t="s">
        <v>288</v>
      </c>
      <c r="AM31" s="112">
        <v>23747147</v>
      </c>
      <c r="AN31" s="112">
        <v>39388701</v>
      </c>
      <c r="AO31" s="112">
        <v>1954177</v>
      </c>
      <c r="AP31" s="112">
        <v>6140434</v>
      </c>
      <c r="AQ31" s="112">
        <v>5883733</v>
      </c>
      <c r="AR31" s="112">
        <v>2911678073</v>
      </c>
      <c r="AS31" s="112">
        <v>128547788</v>
      </c>
      <c r="AT31" s="112">
        <v>17758986</v>
      </c>
      <c r="AU31" s="112">
        <v>33650292</v>
      </c>
      <c r="AV31" s="112">
        <v>9445096</v>
      </c>
      <c r="AW31" s="113" t="s">
        <v>288</v>
      </c>
      <c r="AX31" s="113" t="s">
        <v>288</v>
      </c>
      <c r="AY31" s="112">
        <v>189402162</v>
      </c>
      <c r="AZ31" s="112">
        <v>2003</v>
      </c>
      <c r="BA31" s="112">
        <v>189404165</v>
      </c>
      <c r="BB31" s="113" t="s">
        <v>288</v>
      </c>
      <c r="BC31" s="113">
        <v>0</v>
      </c>
      <c r="BD31" s="113">
        <v>0</v>
      </c>
      <c r="BE31" s="113">
        <v>14.73</v>
      </c>
    </row>
    <row r="32" spans="1:57" s="117" customFormat="1">
      <c r="A32" s="216" t="s">
        <v>446</v>
      </c>
      <c r="B32" s="270">
        <f>SUM(C31:X31)</f>
        <v>3101082238</v>
      </c>
      <c r="C32" s="217"/>
      <c r="D32" s="217"/>
      <c r="E32" s="217"/>
      <c r="F32" s="217"/>
      <c r="G32" s="217"/>
      <c r="H32" s="218"/>
      <c r="I32" s="217"/>
      <c r="J32" s="217"/>
      <c r="K32" s="217"/>
      <c r="L32" s="218"/>
      <c r="M32" s="218"/>
      <c r="N32" s="217"/>
      <c r="O32" s="217"/>
      <c r="P32" s="217"/>
      <c r="Q32" s="218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8"/>
      <c r="AD32" s="217"/>
      <c r="AE32" s="217"/>
      <c r="AF32" s="217"/>
      <c r="AG32" s="217"/>
      <c r="AH32" s="218"/>
      <c r="AI32" s="217"/>
      <c r="AJ32" s="217"/>
      <c r="AK32" s="217"/>
      <c r="AL32" s="218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8"/>
      <c r="AX32" s="218"/>
      <c r="AY32" s="217"/>
      <c r="AZ32" s="217"/>
      <c r="BA32" s="217"/>
      <c r="BB32" s="218"/>
      <c r="BC32" s="218"/>
      <c r="BD32" s="218"/>
      <c r="BE32" s="218"/>
    </row>
    <row r="33" spans="1:57" s="117" customFormat="1">
      <c r="A33" s="215" t="s">
        <v>447</v>
      </c>
      <c r="B33" s="270">
        <f>SUM(Z31:AQ31)</f>
        <v>2911678073</v>
      </c>
      <c r="C33" s="217"/>
      <c r="D33" s="217"/>
      <c r="E33" s="217"/>
      <c r="F33" s="217"/>
      <c r="G33" s="217"/>
      <c r="H33" s="218"/>
      <c r="I33" s="217"/>
      <c r="J33" s="217"/>
      <c r="K33" s="217"/>
      <c r="L33" s="218"/>
      <c r="M33" s="218"/>
      <c r="N33" s="217"/>
      <c r="O33" s="217"/>
      <c r="P33" s="217"/>
      <c r="Q33" s="218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8"/>
      <c r="AD33" s="217"/>
      <c r="AE33" s="217"/>
      <c r="AF33" s="217"/>
      <c r="AG33" s="217"/>
      <c r="AH33" s="218"/>
      <c r="AI33" s="217"/>
      <c r="AJ33" s="217"/>
      <c r="AK33" s="217"/>
      <c r="AL33" s="218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8"/>
      <c r="AX33" s="218"/>
      <c r="AY33" s="217"/>
      <c r="AZ33" s="217"/>
      <c r="BA33" s="217"/>
      <c r="BB33" s="218"/>
      <c r="BC33" s="218"/>
      <c r="BD33" s="218"/>
      <c r="BE33" s="218"/>
    </row>
    <row r="34" spans="1:57" s="117" customFormat="1">
      <c r="A34" s="215" t="s">
        <v>448</v>
      </c>
      <c r="B34" s="270">
        <f>AS31</f>
        <v>128547788</v>
      </c>
      <c r="C34" s="217"/>
      <c r="D34" s="217"/>
      <c r="E34" s="217"/>
      <c r="F34" s="217"/>
      <c r="G34" s="217"/>
      <c r="H34" s="217"/>
      <c r="I34" s="217"/>
      <c r="J34" s="218"/>
      <c r="K34" s="217"/>
      <c r="L34" s="217"/>
      <c r="M34" s="217"/>
      <c r="N34" s="218"/>
      <c r="O34" s="217"/>
      <c r="P34" s="218"/>
      <c r="Q34" s="218"/>
      <c r="R34" s="217"/>
      <c r="S34" s="217"/>
      <c r="T34" s="218"/>
      <c r="U34" s="218"/>
      <c r="V34" s="218"/>
      <c r="W34" s="218"/>
    </row>
    <row r="35" spans="1:57" s="117" customFormat="1">
      <c r="A35" s="215" t="s">
        <v>449</v>
      </c>
      <c r="B35" s="273">
        <f>10*(B32-B33)/B34</f>
        <v>14.734144239028057</v>
      </c>
      <c r="C35" s="217"/>
      <c r="D35" s="217"/>
      <c r="E35" s="217"/>
      <c r="F35" s="217"/>
      <c r="G35" s="217"/>
      <c r="H35" s="217"/>
      <c r="I35" s="217"/>
      <c r="J35" s="218"/>
      <c r="K35" s="217"/>
      <c r="L35" s="217"/>
      <c r="M35" s="217"/>
      <c r="N35" s="218"/>
      <c r="O35" s="217"/>
      <c r="P35" s="218"/>
      <c r="Q35" s="218"/>
      <c r="R35" s="217"/>
      <c r="S35" s="217"/>
      <c r="T35" s="218"/>
      <c r="U35" s="218"/>
      <c r="V35" s="218"/>
      <c r="W35" s="218"/>
    </row>
    <row r="36" spans="1:57" ht="17.25" thickBot="1">
      <c r="B36" s="116"/>
      <c r="X36" s="74"/>
      <c r="AA36" s="74"/>
    </row>
    <row r="37" spans="1:57" ht="17.25" thickBot="1">
      <c r="A37" s="274" t="s">
        <v>388</v>
      </c>
      <c r="X37" s="74"/>
      <c r="AA37" s="74"/>
    </row>
    <row r="38" spans="1:57" ht="57.75" customHeight="1">
      <c r="A38" s="160" t="s">
        <v>289</v>
      </c>
      <c r="B38" s="172" t="s">
        <v>270</v>
      </c>
      <c r="C38" s="207" t="s">
        <v>290</v>
      </c>
      <c r="D38" s="207" t="s">
        <v>430</v>
      </c>
      <c r="E38" s="207" t="s">
        <v>431</v>
      </c>
      <c r="F38" s="207" t="s">
        <v>432</v>
      </c>
      <c r="G38" s="207" t="s">
        <v>433</v>
      </c>
      <c r="H38" s="207" t="s">
        <v>434</v>
      </c>
      <c r="I38" s="207" t="s">
        <v>435</v>
      </c>
      <c r="J38" s="207" t="s">
        <v>436</v>
      </c>
      <c r="K38" s="207" t="s">
        <v>437</v>
      </c>
      <c r="L38" s="207" t="s">
        <v>438</v>
      </c>
      <c r="M38" s="207" t="s">
        <v>309</v>
      </c>
      <c r="N38" s="207" t="s">
        <v>103</v>
      </c>
      <c r="O38" s="207" t="s">
        <v>439</v>
      </c>
      <c r="P38" s="211" t="s">
        <v>421</v>
      </c>
      <c r="Q38" s="203" t="s">
        <v>440</v>
      </c>
      <c r="R38" s="203" t="s">
        <v>317</v>
      </c>
      <c r="S38" s="203" t="s">
        <v>441</v>
      </c>
      <c r="T38" s="203" t="s">
        <v>319</v>
      </c>
      <c r="U38" s="203" t="s">
        <v>313</v>
      </c>
      <c r="V38" s="203" t="s">
        <v>314</v>
      </c>
      <c r="W38" s="203" t="s">
        <v>321</v>
      </c>
      <c r="X38" s="203" t="s">
        <v>323</v>
      </c>
      <c r="Y38" s="203" t="s">
        <v>325</v>
      </c>
      <c r="Z38" s="203" t="s">
        <v>326</v>
      </c>
      <c r="AA38" s="203" t="s">
        <v>442</v>
      </c>
      <c r="AB38" s="203" t="s">
        <v>443</v>
      </c>
      <c r="AC38" s="203" t="s">
        <v>444</v>
      </c>
      <c r="AD38" s="203" t="s">
        <v>324</v>
      </c>
      <c r="AE38" s="203" t="s">
        <v>327</v>
      </c>
      <c r="AF38" s="203" t="s">
        <v>328</v>
      </c>
      <c r="AG38" s="203" t="s">
        <v>445</v>
      </c>
      <c r="AH38" s="211" t="s">
        <v>423</v>
      </c>
      <c r="AI38" s="275" t="s">
        <v>329</v>
      </c>
      <c r="AJ38" s="275" t="s">
        <v>416</v>
      </c>
      <c r="AK38" s="275" t="s">
        <v>330</v>
      </c>
      <c r="AL38" s="275" t="s">
        <v>331</v>
      </c>
      <c r="AM38" s="275" t="s">
        <v>332</v>
      </c>
      <c r="AN38" s="275" t="s">
        <v>333</v>
      </c>
      <c r="AO38" s="275" t="s">
        <v>417</v>
      </c>
      <c r="AP38" s="275" t="s">
        <v>334</v>
      </c>
      <c r="AQ38" s="275" t="s">
        <v>418</v>
      </c>
      <c r="AR38" s="275" t="s">
        <v>336</v>
      </c>
      <c r="AS38" s="275" t="s">
        <v>427</v>
      </c>
      <c r="AT38" s="275" t="s">
        <v>338</v>
      </c>
      <c r="AU38" s="275" t="s">
        <v>340</v>
      </c>
      <c r="AV38" s="275" t="s">
        <v>339</v>
      </c>
      <c r="AW38" s="275" t="s">
        <v>419</v>
      </c>
    </row>
    <row r="39" spans="1:57" ht="17.25" thickBot="1">
      <c r="A39" s="161" t="s">
        <v>207</v>
      </c>
      <c r="B39" s="173"/>
      <c r="C39" s="209"/>
      <c r="D39" s="209"/>
      <c r="E39" s="209"/>
      <c r="F39" s="209"/>
      <c r="G39" s="209"/>
      <c r="H39" s="209"/>
      <c r="I39" s="209"/>
      <c r="J39" s="209"/>
      <c r="K39" s="209"/>
      <c r="L39" s="209"/>
      <c r="M39" s="209"/>
      <c r="N39" s="209"/>
      <c r="O39" s="209"/>
      <c r="P39" s="213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13"/>
      <c r="AI39" s="276"/>
      <c r="AJ39" s="276"/>
      <c r="AK39" s="276"/>
      <c r="AL39" s="276"/>
      <c r="AM39" s="276"/>
      <c r="AN39" s="276"/>
      <c r="AO39" s="276"/>
      <c r="AP39" s="276"/>
      <c r="AQ39" s="276"/>
      <c r="AR39" s="276"/>
      <c r="AS39" s="276"/>
      <c r="AT39" s="276"/>
      <c r="AU39" s="276"/>
      <c r="AV39" s="276"/>
      <c r="AW39" s="276"/>
    </row>
    <row r="40" spans="1:57" ht="17.25" thickBot="1">
      <c r="A40" s="154">
        <v>2816</v>
      </c>
      <c r="B40" s="154" t="s">
        <v>399</v>
      </c>
      <c r="C40" s="155">
        <v>2386542</v>
      </c>
      <c r="D40" s="155">
        <v>667810</v>
      </c>
      <c r="E40" s="156">
        <v>302</v>
      </c>
      <c r="F40" s="156">
        <v>0</v>
      </c>
      <c r="G40" s="156" t="s">
        <v>288</v>
      </c>
      <c r="H40" s="155">
        <v>8730438</v>
      </c>
      <c r="I40" s="155">
        <v>3920832</v>
      </c>
      <c r="J40" s="155">
        <v>1165781</v>
      </c>
      <c r="K40" s="155">
        <v>7810</v>
      </c>
      <c r="L40" s="155">
        <v>136982</v>
      </c>
      <c r="M40" s="156" t="s">
        <v>288</v>
      </c>
      <c r="N40" s="155">
        <v>728235</v>
      </c>
      <c r="O40" s="156" t="s">
        <v>288</v>
      </c>
      <c r="P40" s="155">
        <v>17744732</v>
      </c>
      <c r="Q40" s="156" t="s">
        <v>288</v>
      </c>
      <c r="R40" s="155">
        <v>1256750</v>
      </c>
      <c r="S40" s="156">
        <v>180</v>
      </c>
      <c r="T40" s="156">
        <v>0</v>
      </c>
      <c r="U40" s="156" t="s">
        <v>288</v>
      </c>
      <c r="V40" s="156" t="s">
        <v>288</v>
      </c>
      <c r="W40" s="156" t="s">
        <v>288</v>
      </c>
      <c r="X40" s="156" t="s">
        <v>288</v>
      </c>
      <c r="Y40" s="156" t="s">
        <v>288</v>
      </c>
      <c r="Z40" s="155">
        <v>7863</v>
      </c>
      <c r="AA40" s="155">
        <v>10326662</v>
      </c>
      <c r="AB40" s="156" t="s">
        <v>288</v>
      </c>
      <c r="AC40" s="156" t="s">
        <v>288</v>
      </c>
      <c r="AD40" s="155">
        <v>214043</v>
      </c>
      <c r="AE40" s="155">
        <v>63920</v>
      </c>
      <c r="AF40" s="155">
        <v>28121</v>
      </c>
      <c r="AG40" s="156" t="s">
        <v>288</v>
      </c>
      <c r="AH40" s="155">
        <v>11897539</v>
      </c>
      <c r="AI40" s="155">
        <v>2236080</v>
      </c>
      <c r="AJ40" s="156" t="s">
        <v>288</v>
      </c>
      <c r="AK40" s="156">
        <v>0</v>
      </c>
      <c r="AL40" s="155">
        <v>3552655</v>
      </c>
      <c r="AM40" s="155">
        <v>58458</v>
      </c>
      <c r="AN40" s="156" t="s">
        <v>288</v>
      </c>
      <c r="AO40" s="155">
        <v>5847193</v>
      </c>
      <c r="AP40" s="156" t="s">
        <v>288</v>
      </c>
      <c r="AQ40" s="156" t="s">
        <v>288</v>
      </c>
      <c r="AR40" s="156">
        <v>0</v>
      </c>
      <c r="AS40" s="155">
        <v>5847193</v>
      </c>
      <c r="AT40" s="156" t="s">
        <v>288</v>
      </c>
      <c r="AU40" s="156">
        <v>0</v>
      </c>
      <c r="AV40" s="156">
        <v>0</v>
      </c>
      <c r="AW40" s="156">
        <v>26.15</v>
      </c>
    </row>
    <row r="41" spans="1:57" s="117" customFormat="1">
      <c r="A41" s="216" t="s">
        <v>446</v>
      </c>
      <c r="B41" s="270">
        <f>SUM(C40:O40)</f>
        <v>17744732</v>
      </c>
      <c r="C41" s="217"/>
      <c r="D41" s="217"/>
      <c r="E41" s="218"/>
      <c r="F41" s="218"/>
      <c r="G41" s="218"/>
      <c r="H41" s="217"/>
      <c r="I41" s="217"/>
      <c r="J41" s="217"/>
      <c r="K41" s="217"/>
      <c r="L41" s="217"/>
      <c r="M41" s="218"/>
      <c r="N41" s="217"/>
      <c r="O41" s="218"/>
      <c r="P41" s="217"/>
      <c r="Q41" s="218"/>
      <c r="R41" s="217"/>
      <c r="S41" s="218"/>
      <c r="T41" s="218"/>
      <c r="U41" s="218"/>
      <c r="V41" s="218"/>
      <c r="W41" s="218"/>
      <c r="X41" s="218"/>
      <c r="Y41" s="218"/>
      <c r="Z41" s="217"/>
      <c r="AA41" s="217"/>
      <c r="AB41" s="218"/>
      <c r="AC41" s="218"/>
      <c r="AD41" s="217"/>
      <c r="AE41" s="217"/>
      <c r="AF41" s="217"/>
      <c r="AG41" s="218"/>
      <c r="AH41" s="217"/>
      <c r="AI41" s="217"/>
      <c r="AJ41" s="218"/>
      <c r="AK41" s="218"/>
      <c r="AL41" s="217"/>
      <c r="AM41" s="217"/>
      <c r="AN41" s="218"/>
      <c r="AO41" s="217"/>
      <c r="AP41" s="218"/>
      <c r="AQ41" s="218"/>
      <c r="AR41" s="218"/>
      <c r="AS41" s="217"/>
      <c r="AT41" s="218"/>
      <c r="AU41" s="218"/>
      <c r="AV41" s="218"/>
      <c r="AW41" s="218"/>
    </row>
    <row r="42" spans="1:57" s="117" customFormat="1">
      <c r="A42" s="215" t="s">
        <v>447</v>
      </c>
      <c r="B42" s="270">
        <f>SUM(Q40:AG40)</f>
        <v>11897539</v>
      </c>
      <c r="C42" s="217"/>
      <c r="D42" s="217"/>
      <c r="E42" s="218"/>
      <c r="F42" s="218"/>
      <c r="G42" s="218"/>
      <c r="H42" s="217"/>
      <c r="I42" s="217"/>
      <c r="J42" s="217"/>
      <c r="K42" s="217"/>
      <c r="L42" s="217"/>
      <c r="M42" s="218"/>
      <c r="N42" s="217"/>
      <c r="O42" s="218"/>
      <c r="P42" s="217"/>
      <c r="Q42" s="218"/>
      <c r="R42" s="217"/>
      <c r="S42" s="218"/>
      <c r="T42" s="218"/>
      <c r="U42" s="218"/>
      <c r="V42" s="218"/>
      <c r="W42" s="218"/>
      <c r="X42" s="218"/>
      <c r="Y42" s="218"/>
      <c r="Z42" s="217"/>
      <c r="AA42" s="217"/>
      <c r="AB42" s="218"/>
      <c r="AC42" s="218"/>
      <c r="AD42" s="217"/>
      <c r="AE42" s="217"/>
      <c r="AF42" s="217"/>
      <c r="AG42" s="218"/>
      <c r="AH42" s="217"/>
      <c r="AI42" s="217"/>
      <c r="AJ42" s="218"/>
      <c r="AK42" s="218"/>
      <c r="AL42" s="217"/>
      <c r="AM42" s="217"/>
      <c r="AN42" s="218"/>
      <c r="AO42" s="217"/>
      <c r="AP42" s="218"/>
      <c r="AQ42" s="218"/>
      <c r="AR42" s="218"/>
      <c r="AS42" s="217"/>
      <c r="AT42" s="218"/>
      <c r="AU42" s="218"/>
      <c r="AV42" s="218"/>
      <c r="AW42" s="218"/>
    </row>
    <row r="43" spans="1:57" s="117" customFormat="1">
      <c r="A43" s="215" t="s">
        <v>448</v>
      </c>
      <c r="B43" s="270">
        <f>AI40</f>
        <v>2236080</v>
      </c>
      <c r="C43" s="217"/>
      <c r="D43" s="217"/>
      <c r="E43" s="217"/>
      <c r="F43" s="217"/>
      <c r="G43" s="217"/>
      <c r="H43" s="217"/>
      <c r="I43" s="217"/>
      <c r="J43" s="218"/>
      <c r="K43" s="217"/>
      <c r="L43" s="217"/>
      <c r="M43" s="217"/>
      <c r="N43" s="218"/>
      <c r="O43" s="217"/>
      <c r="P43" s="218"/>
      <c r="Q43" s="218"/>
      <c r="R43" s="217"/>
      <c r="S43" s="217"/>
      <c r="T43" s="218"/>
      <c r="U43" s="218"/>
      <c r="V43" s="218"/>
      <c r="W43" s="218"/>
    </row>
    <row r="44" spans="1:57" s="117" customFormat="1">
      <c r="A44" s="215" t="s">
        <v>449</v>
      </c>
      <c r="B44" s="273">
        <f>10*(B41-B42)/B43</f>
        <v>26.149301456119638</v>
      </c>
      <c r="C44" s="217"/>
      <c r="D44" s="217"/>
      <c r="E44" s="217"/>
      <c r="F44" s="217"/>
      <c r="G44" s="217"/>
      <c r="H44" s="217"/>
      <c r="I44" s="217"/>
      <c r="J44" s="218"/>
      <c r="K44" s="217"/>
      <c r="L44" s="217"/>
      <c r="M44" s="217"/>
      <c r="N44" s="218"/>
      <c r="O44" s="217"/>
      <c r="P44" s="218"/>
      <c r="Q44" s="218"/>
      <c r="R44" s="217"/>
      <c r="S44" s="217"/>
      <c r="T44" s="218"/>
      <c r="U44" s="218"/>
      <c r="V44" s="218"/>
      <c r="W44" s="218"/>
    </row>
    <row r="45" spans="1:57" ht="17.25" thickBot="1">
      <c r="B45" s="116"/>
      <c r="X45" s="74"/>
      <c r="AA45" s="74"/>
    </row>
    <row r="46" spans="1:57" ht="17.25" thickBot="1">
      <c r="A46" s="274" t="s">
        <v>395</v>
      </c>
      <c r="X46" s="74"/>
      <c r="AA46" s="74"/>
    </row>
    <row r="47" spans="1:57" ht="57.75" customHeight="1">
      <c r="A47" s="278" t="s">
        <v>289</v>
      </c>
      <c r="B47" s="175" t="s">
        <v>270</v>
      </c>
      <c r="C47" s="282" t="s">
        <v>89</v>
      </c>
      <c r="D47" s="282" t="s">
        <v>420</v>
      </c>
      <c r="E47" s="267" t="s">
        <v>421</v>
      </c>
      <c r="F47" s="284" t="s">
        <v>114</v>
      </c>
      <c r="G47" s="284" t="s">
        <v>422</v>
      </c>
      <c r="H47" s="267" t="s">
        <v>423</v>
      </c>
      <c r="I47" s="279" t="s">
        <v>329</v>
      </c>
      <c r="J47" s="279" t="s">
        <v>424</v>
      </c>
      <c r="K47" s="279" t="s">
        <v>330</v>
      </c>
      <c r="L47" s="279" t="s">
        <v>331</v>
      </c>
      <c r="M47" s="279" t="s">
        <v>332</v>
      </c>
      <c r="N47" s="279" t="s">
        <v>333</v>
      </c>
      <c r="O47" s="279" t="s">
        <v>417</v>
      </c>
      <c r="P47" s="279" t="s">
        <v>334</v>
      </c>
      <c r="Q47" s="279" t="s">
        <v>336</v>
      </c>
      <c r="R47" s="279" t="s">
        <v>337</v>
      </c>
      <c r="S47" s="279" t="s">
        <v>338</v>
      </c>
      <c r="T47" s="279" t="s">
        <v>339</v>
      </c>
      <c r="U47" s="279" t="s">
        <v>340</v>
      </c>
      <c r="V47" s="279" t="s">
        <v>419</v>
      </c>
      <c r="X47" s="74"/>
      <c r="AA47" s="74"/>
    </row>
    <row r="48" spans="1:57" ht="17.25" thickBot="1">
      <c r="A48" s="280" t="s">
        <v>207</v>
      </c>
      <c r="B48" s="176"/>
      <c r="C48" s="283"/>
      <c r="D48" s="283"/>
      <c r="E48" s="268"/>
      <c r="F48" s="285"/>
      <c r="G48" s="285"/>
      <c r="H48" s="268"/>
      <c r="I48" s="281"/>
      <c r="J48" s="281"/>
      <c r="K48" s="281"/>
      <c r="L48" s="281"/>
      <c r="M48" s="281"/>
      <c r="N48" s="281"/>
      <c r="O48" s="281"/>
      <c r="P48" s="281"/>
      <c r="Q48" s="281"/>
      <c r="R48" s="281"/>
      <c r="S48" s="281"/>
      <c r="T48" s="281"/>
      <c r="U48" s="281"/>
      <c r="V48" s="281"/>
      <c r="X48" s="74"/>
      <c r="AA48" s="74"/>
    </row>
    <row r="49" spans="1:34" ht="17.25" thickBot="1">
      <c r="A49" s="111">
        <v>1409</v>
      </c>
      <c r="B49" s="111" t="s">
        <v>400</v>
      </c>
      <c r="C49" s="112">
        <v>116205250</v>
      </c>
      <c r="D49" s="112">
        <v>57749070</v>
      </c>
      <c r="E49" s="112">
        <v>173954320</v>
      </c>
      <c r="F49" s="112">
        <v>114241019</v>
      </c>
      <c r="G49" s="112">
        <v>17548056</v>
      </c>
      <c r="H49" s="112">
        <v>131789075</v>
      </c>
      <c r="I49" s="112">
        <v>16184093</v>
      </c>
      <c r="J49" s="113" t="s">
        <v>288</v>
      </c>
      <c r="K49" s="112">
        <v>1951573</v>
      </c>
      <c r="L49" s="112">
        <v>11423081</v>
      </c>
      <c r="M49" s="112">
        <v>2127001</v>
      </c>
      <c r="N49" s="112">
        <v>-29834</v>
      </c>
      <c r="O49" s="112">
        <v>31655914</v>
      </c>
      <c r="P49" s="113" t="s">
        <v>288</v>
      </c>
      <c r="Q49" s="112">
        <v>10509331</v>
      </c>
      <c r="R49" s="112">
        <v>42165245</v>
      </c>
      <c r="S49" s="113" t="s">
        <v>288</v>
      </c>
      <c r="T49" s="113">
        <v>0</v>
      </c>
      <c r="U49" s="112">
        <v>4680487</v>
      </c>
      <c r="V49" s="113">
        <v>19.62</v>
      </c>
      <c r="X49" s="74"/>
      <c r="AA49" s="74"/>
    </row>
    <row r="50" spans="1:34">
      <c r="A50" s="216" t="s">
        <v>446</v>
      </c>
      <c r="B50" s="116">
        <f>SUM(C49:D49)</f>
        <v>173954320</v>
      </c>
      <c r="X50" s="74"/>
      <c r="AA50" s="74"/>
    </row>
    <row r="51" spans="1:34">
      <c r="A51" s="215" t="s">
        <v>447</v>
      </c>
      <c r="B51" s="116">
        <f>SUM(F49:G49)</f>
        <v>131789075</v>
      </c>
      <c r="X51" s="74"/>
      <c r="AA51" s="74"/>
    </row>
    <row r="52" spans="1:34" s="117" customFormat="1">
      <c r="A52" s="215" t="s">
        <v>448</v>
      </c>
      <c r="B52" s="270">
        <f>I49</f>
        <v>16184093</v>
      </c>
      <c r="C52" s="217"/>
      <c r="D52" s="217"/>
      <c r="E52" s="217"/>
      <c r="F52" s="217"/>
      <c r="G52" s="217"/>
      <c r="H52" s="217"/>
      <c r="I52" s="217"/>
      <c r="J52" s="218"/>
      <c r="K52" s="217"/>
      <c r="L52" s="217"/>
      <c r="M52" s="217"/>
      <c r="N52" s="218"/>
      <c r="O52" s="217"/>
      <c r="P52" s="218"/>
      <c r="Q52" s="218"/>
      <c r="R52" s="217"/>
      <c r="S52" s="217"/>
      <c r="T52" s="218"/>
      <c r="U52" s="218"/>
      <c r="V52" s="218"/>
      <c r="W52" s="218"/>
    </row>
    <row r="53" spans="1:34" s="117" customFormat="1">
      <c r="A53" s="215" t="s">
        <v>449</v>
      </c>
      <c r="B53" s="273">
        <f>10*(B50-B51)/B52</f>
        <v>26.053511308913016</v>
      </c>
      <c r="C53" s="217"/>
      <c r="D53" s="217"/>
      <c r="E53" s="217"/>
      <c r="F53" s="217"/>
      <c r="G53" s="217"/>
      <c r="H53" s="217"/>
      <c r="I53" s="217"/>
      <c r="J53" s="218"/>
      <c r="K53" s="217"/>
      <c r="L53" s="217"/>
      <c r="M53" s="217"/>
      <c r="N53" s="218"/>
      <c r="O53" s="217"/>
      <c r="P53" s="218"/>
      <c r="Q53" s="218"/>
      <c r="R53" s="217"/>
      <c r="S53" s="217"/>
      <c r="T53" s="218"/>
      <c r="U53" s="218"/>
      <c r="V53" s="218"/>
      <c r="W53" s="218"/>
    </row>
    <row r="55" spans="1:34" s="193" customFormat="1" ht="36" customHeight="1">
      <c r="X55" s="194"/>
      <c r="AA55" s="194"/>
    </row>
    <row r="56" spans="1:34" ht="17.25" thickBot="1"/>
    <row r="57" spans="1:34" ht="17.25" thickBot="1">
      <c r="A57" s="151" t="s">
        <v>361</v>
      </c>
    </row>
    <row r="58" spans="1:34">
      <c r="A58" s="152" t="s">
        <v>289</v>
      </c>
      <c r="B58" s="169" t="s">
        <v>270</v>
      </c>
      <c r="C58" s="206" t="s">
        <v>290</v>
      </c>
      <c r="D58" s="206" t="s">
        <v>407</v>
      </c>
      <c r="E58" s="206" t="s">
        <v>537</v>
      </c>
      <c r="F58" s="206" t="s">
        <v>538</v>
      </c>
      <c r="G58" s="206" t="s">
        <v>296</v>
      </c>
      <c r="H58" s="206" t="s">
        <v>539</v>
      </c>
      <c r="I58" s="206" t="s">
        <v>540</v>
      </c>
      <c r="J58" s="206" t="s">
        <v>541</v>
      </c>
      <c r="K58" s="206" t="s">
        <v>542</v>
      </c>
      <c r="L58" s="206" t="s">
        <v>543</v>
      </c>
      <c r="M58" s="206" t="s">
        <v>438</v>
      </c>
      <c r="N58" s="206" t="s">
        <v>544</v>
      </c>
      <c r="O58" s="206" t="s">
        <v>103</v>
      </c>
      <c r="P58" s="202" t="s">
        <v>412</v>
      </c>
      <c r="Q58" s="202" t="s">
        <v>317</v>
      </c>
      <c r="R58" s="202" t="s">
        <v>320</v>
      </c>
      <c r="S58" s="202" t="s">
        <v>545</v>
      </c>
      <c r="T58" s="202" t="s">
        <v>546</v>
      </c>
      <c r="U58" s="202" t="s">
        <v>315</v>
      </c>
      <c r="V58" s="202" t="s">
        <v>312</v>
      </c>
      <c r="W58" s="202" t="s">
        <v>323</v>
      </c>
      <c r="X58" s="202" t="s">
        <v>328</v>
      </c>
      <c r="Y58" s="169" t="s">
        <v>329</v>
      </c>
      <c r="Z58" s="169" t="s">
        <v>330</v>
      </c>
      <c r="AA58" s="169" t="s">
        <v>331</v>
      </c>
      <c r="AB58" s="169" t="s">
        <v>547</v>
      </c>
      <c r="AC58" s="210" t="s">
        <v>421</v>
      </c>
      <c r="AD58" s="210" t="s">
        <v>423</v>
      </c>
      <c r="AE58" s="169" t="s">
        <v>548</v>
      </c>
      <c r="AF58" s="169" t="s">
        <v>549</v>
      </c>
      <c r="AG58" s="169" t="s">
        <v>428</v>
      </c>
      <c r="AH58" s="169" t="s">
        <v>19</v>
      </c>
    </row>
    <row r="59" spans="1:34" ht="17.25" thickBot="1">
      <c r="A59" s="153" t="s">
        <v>207</v>
      </c>
      <c r="B59" s="170"/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4"/>
      <c r="Q59" s="204"/>
      <c r="R59" s="204"/>
      <c r="S59" s="204"/>
      <c r="T59" s="204"/>
      <c r="U59" s="204"/>
      <c r="V59" s="204"/>
      <c r="W59" s="204"/>
      <c r="X59" s="204"/>
      <c r="Y59" s="170"/>
      <c r="Z59" s="170"/>
      <c r="AA59" s="170"/>
      <c r="AB59" s="170"/>
      <c r="AC59" s="212"/>
      <c r="AD59" s="212"/>
      <c r="AE59" s="170"/>
      <c r="AF59" s="170"/>
      <c r="AG59" s="170"/>
      <c r="AH59" s="170"/>
    </row>
    <row r="60" spans="1:34" ht="17.25" thickBot="1">
      <c r="A60" s="309">
        <v>2849</v>
      </c>
      <c r="B60" s="309" t="s">
        <v>550</v>
      </c>
      <c r="C60" s="310">
        <v>3350426</v>
      </c>
      <c r="D60" s="310">
        <v>89269720</v>
      </c>
      <c r="E60" s="310">
        <v>2910752</v>
      </c>
      <c r="F60" s="310">
        <v>27893218</v>
      </c>
      <c r="G60" s="310">
        <v>685397</v>
      </c>
      <c r="H60" s="310">
        <v>8096412</v>
      </c>
      <c r="I60" s="310">
        <v>196976374</v>
      </c>
      <c r="J60" s="311">
        <v>0</v>
      </c>
      <c r="K60" s="310">
        <v>11472</v>
      </c>
      <c r="L60" s="310">
        <v>2160859</v>
      </c>
      <c r="M60" s="310">
        <v>211804</v>
      </c>
      <c r="N60" s="310">
        <v>5624424</v>
      </c>
      <c r="O60" s="310">
        <v>4793116</v>
      </c>
      <c r="P60" s="310">
        <v>4443572</v>
      </c>
      <c r="Q60" s="310">
        <v>3625568</v>
      </c>
      <c r="R60" s="310">
        <v>272371034</v>
      </c>
      <c r="S60" s="311">
        <v>0</v>
      </c>
      <c r="T60" s="310">
        <v>19061286</v>
      </c>
      <c r="U60" s="310">
        <v>8625611</v>
      </c>
      <c r="V60" s="310">
        <v>11240000</v>
      </c>
      <c r="W60" s="310">
        <v>1414865</v>
      </c>
      <c r="X60" s="310">
        <v>887005</v>
      </c>
      <c r="Y60" s="310">
        <v>16796775</v>
      </c>
      <c r="Z60" s="310">
        <v>1461505</v>
      </c>
      <c r="AA60" s="310">
        <v>2076452</v>
      </c>
      <c r="AB60" s="310">
        <v>-19699</v>
      </c>
      <c r="AC60" s="310">
        <v>341983974</v>
      </c>
      <c r="AD60" s="310">
        <v>321668941</v>
      </c>
      <c r="AE60" s="310">
        <v>20315033</v>
      </c>
      <c r="AF60" s="311">
        <v>0</v>
      </c>
      <c r="AG60" s="311">
        <v>0</v>
      </c>
      <c r="AH60" s="311">
        <v>12.09</v>
      </c>
    </row>
    <row r="61" spans="1:34">
      <c r="A61" s="216" t="s">
        <v>446</v>
      </c>
      <c r="B61" s="116">
        <f>SUM(C60:O60)</f>
        <v>341983974</v>
      </c>
      <c r="AC61" s="116"/>
    </row>
    <row r="62" spans="1:34">
      <c r="A62" s="215" t="s">
        <v>447</v>
      </c>
      <c r="B62" s="116">
        <f>SUM(P60:X60)</f>
        <v>321668941</v>
      </c>
    </row>
    <row r="63" spans="1:34">
      <c r="A63" s="215" t="s">
        <v>448</v>
      </c>
      <c r="B63" s="116">
        <f>Y60</f>
        <v>16796775</v>
      </c>
    </row>
    <row r="64" spans="1:34">
      <c r="A64" s="215" t="s">
        <v>449</v>
      </c>
      <c r="B64" s="317">
        <f>10*(B61-B62)/B63</f>
        <v>12.094603279498594</v>
      </c>
    </row>
    <row r="65" spans="1:24" ht="17.25" thickBot="1">
      <c r="A65" s="174"/>
    </row>
    <row r="66" spans="1:24" ht="17.25" thickBot="1">
      <c r="A66" s="274" t="s">
        <v>380</v>
      </c>
    </row>
    <row r="67" spans="1:24">
      <c r="A67" s="152" t="s">
        <v>289</v>
      </c>
      <c r="B67" s="169" t="s">
        <v>270</v>
      </c>
      <c r="C67" s="206" t="s">
        <v>89</v>
      </c>
      <c r="D67" s="206" t="s">
        <v>551</v>
      </c>
      <c r="E67" s="206" t="s">
        <v>99</v>
      </c>
      <c r="F67" s="206" t="s">
        <v>438</v>
      </c>
      <c r="G67" s="206" t="s">
        <v>103</v>
      </c>
      <c r="H67" s="225" t="s">
        <v>579</v>
      </c>
      <c r="I67" s="206" t="s">
        <v>552</v>
      </c>
      <c r="J67" s="202" t="s">
        <v>114</v>
      </c>
      <c r="K67" s="202" t="s">
        <v>115</v>
      </c>
      <c r="L67" s="202" t="s">
        <v>328</v>
      </c>
      <c r="M67" s="202" t="s">
        <v>553</v>
      </c>
      <c r="N67" s="202" t="s">
        <v>554</v>
      </c>
      <c r="O67" s="169" t="s">
        <v>329</v>
      </c>
      <c r="P67" s="169" t="s">
        <v>330</v>
      </c>
      <c r="Q67" s="169" t="s">
        <v>331</v>
      </c>
      <c r="R67" s="169" t="s">
        <v>555</v>
      </c>
      <c r="S67" s="210" t="s">
        <v>421</v>
      </c>
      <c r="T67" s="210" t="s">
        <v>423</v>
      </c>
      <c r="U67" s="169" t="s">
        <v>556</v>
      </c>
      <c r="V67" s="169" t="s">
        <v>549</v>
      </c>
      <c r="W67" s="169" t="s">
        <v>557</v>
      </c>
      <c r="X67" s="169" t="s">
        <v>19</v>
      </c>
    </row>
    <row r="68" spans="1:24" ht="17.25" thickBot="1">
      <c r="A68" s="153" t="s">
        <v>207</v>
      </c>
      <c r="B68" s="170"/>
      <c r="C68" s="208"/>
      <c r="D68" s="208"/>
      <c r="E68" s="208"/>
      <c r="F68" s="208"/>
      <c r="G68" s="208"/>
      <c r="H68" s="208"/>
      <c r="I68" s="208"/>
      <c r="J68" s="204"/>
      <c r="K68" s="204"/>
      <c r="L68" s="204"/>
      <c r="M68" s="204"/>
      <c r="N68" s="204"/>
      <c r="O68" s="170"/>
      <c r="P68" s="170"/>
      <c r="Q68" s="170"/>
      <c r="R68" s="170"/>
      <c r="S68" s="212"/>
      <c r="T68" s="212"/>
      <c r="U68" s="170"/>
      <c r="V68" s="170"/>
      <c r="W68" s="170"/>
      <c r="X68" s="170"/>
    </row>
    <row r="69" spans="1:24" ht="17.25" thickBot="1">
      <c r="A69" s="300">
        <v>6005</v>
      </c>
      <c r="B69" s="300" t="s">
        <v>558</v>
      </c>
      <c r="C69" s="301">
        <v>39432073</v>
      </c>
      <c r="D69" s="301">
        <v>16058423</v>
      </c>
      <c r="E69" s="301">
        <v>4021079</v>
      </c>
      <c r="F69" s="301">
        <v>392728</v>
      </c>
      <c r="G69" s="301">
        <v>2289133</v>
      </c>
      <c r="H69" s="302">
        <v>0</v>
      </c>
      <c r="I69" s="302">
        <v>0</v>
      </c>
      <c r="J69" s="301">
        <v>27806729</v>
      </c>
      <c r="K69" s="301">
        <v>5993456</v>
      </c>
      <c r="L69" s="301">
        <v>245900</v>
      </c>
      <c r="M69" s="302">
        <v>0</v>
      </c>
      <c r="N69" s="301">
        <v>125844</v>
      </c>
      <c r="O69" s="301">
        <v>23057225</v>
      </c>
      <c r="P69" s="301">
        <v>2598127</v>
      </c>
      <c r="Q69" s="301">
        <v>2424045</v>
      </c>
      <c r="R69" s="301">
        <v>-57890</v>
      </c>
      <c r="S69" s="301">
        <v>62193436</v>
      </c>
      <c r="T69" s="301">
        <v>34171929</v>
      </c>
      <c r="U69" s="301">
        <v>28021507</v>
      </c>
      <c r="V69" s="302">
        <v>0</v>
      </c>
      <c r="W69" s="302">
        <v>0</v>
      </c>
      <c r="X69" s="302">
        <v>12.15</v>
      </c>
    </row>
    <row r="70" spans="1:24">
      <c r="A70" s="216" t="s">
        <v>446</v>
      </c>
      <c r="B70" s="116">
        <f>SUM(C69:I69)</f>
        <v>62193436</v>
      </c>
    </row>
    <row r="71" spans="1:24">
      <c r="A71" s="215" t="s">
        <v>447</v>
      </c>
      <c r="B71" s="116">
        <f>SUM(J69:N69)</f>
        <v>34171929</v>
      </c>
    </row>
    <row r="72" spans="1:24">
      <c r="A72" s="215" t="s">
        <v>448</v>
      </c>
      <c r="B72" s="116">
        <f>O69</f>
        <v>23057225</v>
      </c>
    </row>
    <row r="73" spans="1:24">
      <c r="A73" s="215" t="s">
        <v>449</v>
      </c>
      <c r="B73" s="317">
        <f>10*(B70-B71)/B72</f>
        <v>12.153026654335029</v>
      </c>
    </row>
    <row r="74" spans="1:24" ht="17.25" thickBot="1"/>
    <row r="75" spans="1:24" ht="17.25" thickBot="1">
      <c r="A75" s="274" t="s">
        <v>386</v>
      </c>
    </row>
    <row r="76" spans="1:24" ht="16.5" customHeight="1">
      <c r="A76" s="152" t="s">
        <v>289</v>
      </c>
      <c r="B76" s="169" t="s">
        <v>270</v>
      </c>
      <c r="C76" s="206" t="s">
        <v>89</v>
      </c>
      <c r="D76" s="225" t="s">
        <v>572</v>
      </c>
      <c r="E76" s="206" t="s">
        <v>99</v>
      </c>
      <c r="F76" s="206" t="s">
        <v>438</v>
      </c>
      <c r="G76" s="206" t="s">
        <v>103</v>
      </c>
      <c r="H76" s="210" t="s">
        <v>421</v>
      </c>
      <c r="I76" s="202" t="s">
        <v>114</v>
      </c>
      <c r="J76" s="202" t="s">
        <v>115</v>
      </c>
      <c r="K76" s="202" t="s">
        <v>560</v>
      </c>
      <c r="L76" s="202" t="s">
        <v>328</v>
      </c>
      <c r="M76" s="210" t="s">
        <v>423</v>
      </c>
      <c r="N76" s="169" t="s">
        <v>329</v>
      </c>
      <c r="O76" s="169" t="s">
        <v>330</v>
      </c>
      <c r="P76" s="169" t="s">
        <v>331</v>
      </c>
      <c r="Q76" s="169" t="s">
        <v>561</v>
      </c>
      <c r="R76" s="169" t="s">
        <v>562</v>
      </c>
      <c r="S76" s="169" t="s">
        <v>548</v>
      </c>
      <c r="T76" s="169" t="s">
        <v>334</v>
      </c>
      <c r="U76" s="169" t="s">
        <v>418</v>
      </c>
      <c r="V76" s="169" t="s">
        <v>19</v>
      </c>
      <c r="W76" s="169" t="s">
        <v>549</v>
      </c>
      <c r="X76" s="169" t="s">
        <v>557</v>
      </c>
    </row>
    <row r="77" spans="1:24" ht="17.25" thickBot="1">
      <c r="A77" s="153" t="s">
        <v>207</v>
      </c>
      <c r="B77" s="170"/>
      <c r="C77" s="208"/>
      <c r="D77" s="208"/>
      <c r="E77" s="208"/>
      <c r="F77" s="208"/>
      <c r="G77" s="208"/>
      <c r="H77" s="212"/>
      <c r="I77" s="204"/>
      <c r="J77" s="204"/>
      <c r="K77" s="204"/>
      <c r="L77" s="204"/>
      <c r="M77" s="212"/>
      <c r="N77" s="170"/>
      <c r="O77" s="170"/>
      <c r="P77" s="170"/>
      <c r="Q77" s="170"/>
      <c r="R77" s="170"/>
      <c r="S77" s="170"/>
      <c r="T77" s="170"/>
      <c r="U77" s="170"/>
      <c r="V77" s="170"/>
      <c r="W77" s="170"/>
      <c r="X77" s="170"/>
    </row>
    <row r="78" spans="1:24" ht="17.25" thickBot="1">
      <c r="A78" s="309">
        <v>1216</v>
      </c>
      <c r="B78" s="309" t="s">
        <v>563</v>
      </c>
      <c r="C78" s="310">
        <v>10355303</v>
      </c>
      <c r="D78" s="310">
        <v>79832465</v>
      </c>
      <c r="E78" s="310">
        <v>8536110</v>
      </c>
      <c r="F78" s="310">
        <v>39157</v>
      </c>
      <c r="G78" s="310">
        <v>5229092</v>
      </c>
      <c r="H78" s="310">
        <v>103992127</v>
      </c>
      <c r="I78" s="310">
        <v>9493178</v>
      </c>
      <c r="J78" s="310">
        <v>21399468</v>
      </c>
      <c r="K78" s="310">
        <v>815439</v>
      </c>
      <c r="L78" s="310">
        <v>2317766</v>
      </c>
      <c r="M78" s="310">
        <v>34025851</v>
      </c>
      <c r="N78" s="310">
        <v>42871402</v>
      </c>
      <c r="O78" s="310">
        <v>6251778</v>
      </c>
      <c r="P78" s="310">
        <v>19125009</v>
      </c>
      <c r="Q78" s="310">
        <v>1718087</v>
      </c>
      <c r="R78" s="311">
        <v>0</v>
      </c>
      <c r="S78" s="310">
        <v>69966276</v>
      </c>
      <c r="T78" s="311">
        <v>0</v>
      </c>
      <c r="U78" s="311">
        <v>0</v>
      </c>
      <c r="V78" s="311">
        <v>16.32</v>
      </c>
      <c r="W78" s="311">
        <v>0</v>
      </c>
      <c r="X78" s="311">
        <v>0</v>
      </c>
    </row>
    <row r="79" spans="1:24">
      <c r="A79" s="216" t="s">
        <v>446</v>
      </c>
      <c r="B79" s="116">
        <f>SUM(C78:G78)</f>
        <v>103992127</v>
      </c>
    </row>
    <row r="80" spans="1:24">
      <c r="A80" s="215" t="s">
        <v>447</v>
      </c>
      <c r="B80" s="116">
        <f>SUM(I78:L78)</f>
        <v>34025851</v>
      </c>
    </row>
    <row r="81" spans="1:43">
      <c r="A81" s="215" t="s">
        <v>448</v>
      </c>
      <c r="B81" s="116">
        <f>N78</f>
        <v>42871402</v>
      </c>
    </row>
    <row r="82" spans="1:43">
      <c r="A82" s="215" t="s">
        <v>449</v>
      </c>
      <c r="B82" s="317">
        <f>10*(B79-B80)/B81</f>
        <v>16.32003450691909</v>
      </c>
    </row>
    <row r="83" spans="1:43" ht="17.25" thickBot="1"/>
    <row r="84" spans="1:43" ht="17.25" thickBot="1">
      <c r="A84" s="274" t="s">
        <v>387</v>
      </c>
    </row>
    <row r="85" spans="1:43">
      <c r="A85" s="152" t="s">
        <v>289</v>
      </c>
      <c r="B85" s="169" t="s">
        <v>270</v>
      </c>
      <c r="C85" s="206" t="s">
        <v>290</v>
      </c>
      <c r="D85" s="206" t="s">
        <v>291</v>
      </c>
      <c r="E85" s="206" t="s">
        <v>565</v>
      </c>
      <c r="F85" s="206" t="s">
        <v>296</v>
      </c>
      <c r="G85" s="206" t="s">
        <v>538</v>
      </c>
      <c r="H85" s="206" t="s">
        <v>539</v>
      </c>
      <c r="I85" s="206" t="s">
        <v>432</v>
      </c>
      <c r="J85" s="206" t="s">
        <v>540</v>
      </c>
      <c r="K85" s="206" t="s">
        <v>541</v>
      </c>
      <c r="L85" s="206" t="s">
        <v>542</v>
      </c>
      <c r="M85" s="206" t="s">
        <v>566</v>
      </c>
      <c r="N85" s="206" t="s">
        <v>543</v>
      </c>
      <c r="O85" s="206" t="s">
        <v>567</v>
      </c>
      <c r="P85" s="206" t="s">
        <v>544</v>
      </c>
      <c r="Q85" s="206" t="s">
        <v>568</v>
      </c>
      <c r="R85" s="210" t="s">
        <v>421</v>
      </c>
      <c r="S85" s="202" t="s">
        <v>311</v>
      </c>
      <c r="T85" s="202" t="s">
        <v>320</v>
      </c>
      <c r="U85" s="202" t="s">
        <v>545</v>
      </c>
      <c r="V85" s="202" t="s">
        <v>546</v>
      </c>
      <c r="W85" s="202" t="s">
        <v>315</v>
      </c>
      <c r="X85" s="202" t="s">
        <v>317</v>
      </c>
      <c r="Y85" s="202" t="s">
        <v>312</v>
      </c>
      <c r="Z85" s="202" t="s">
        <v>319</v>
      </c>
      <c r="AA85" s="202" t="s">
        <v>321</v>
      </c>
      <c r="AB85" s="202" t="s">
        <v>322</v>
      </c>
      <c r="AC85" s="202" t="s">
        <v>323</v>
      </c>
      <c r="AD85" s="202" t="s">
        <v>569</v>
      </c>
      <c r="AE85" s="202" t="s">
        <v>570</v>
      </c>
      <c r="AF85" s="202" t="s">
        <v>325</v>
      </c>
      <c r="AG85" s="202" t="s">
        <v>328</v>
      </c>
      <c r="AH85" s="210" t="s">
        <v>423</v>
      </c>
      <c r="AI85" s="169" t="s">
        <v>329</v>
      </c>
      <c r="AJ85" s="169" t="s">
        <v>330</v>
      </c>
      <c r="AK85" s="169" t="s">
        <v>331</v>
      </c>
      <c r="AL85" s="169" t="s">
        <v>547</v>
      </c>
      <c r="AM85" s="169" t="s">
        <v>571</v>
      </c>
      <c r="AN85" s="169" t="s">
        <v>548</v>
      </c>
      <c r="AO85" s="169" t="s">
        <v>549</v>
      </c>
      <c r="AP85" s="169" t="s">
        <v>557</v>
      </c>
      <c r="AQ85" s="169" t="s">
        <v>19</v>
      </c>
    </row>
    <row r="86" spans="1:43" ht="17.25" thickBot="1">
      <c r="A86" s="153" t="s">
        <v>207</v>
      </c>
      <c r="B86" s="170"/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12"/>
      <c r="S86" s="204"/>
      <c r="T86" s="204"/>
      <c r="U86" s="204"/>
      <c r="V86" s="204"/>
      <c r="W86" s="204"/>
      <c r="X86" s="204"/>
      <c r="Y86" s="204"/>
      <c r="Z86" s="204"/>
      <c r="AA86" s="204"/>
      <c r="AB86" s="204"/>
      <c r="AC86" s="204"/>
      <c r="AD86" s="204"/>
      <c r="AE86" s="204"/>
      <c r="AF86" s="204"/>
      <c r="AG86" s="204"/>
      <c r="AH86" s="212"/>
      <c r="AI86" s="170"/>
      <c r="AJ86" s="170"/>
      <c r="AK86" s="170"/>
      <c r="AL86" s="170"/>
      <c r="AM86" s="170"/>
      <c r="AN86" s="170"/>
      <c r="AO86" s="170"/>
      <c r="AP86" s="170"/>
      <c r="AQ86" s="170"/>
    </row>
    <row r="87" spans="1:43" ht="17.25" thickBot="1">
      <c r="A87" s="309">
        <v>2882</v>
      </c>
      <c r="B87" s="309" t="s">
        <v>564</v>
      </c>
      <c r="C87" s="310">
        <v>643534846</v>
      </c>
      <c r="D87" s="310">
        <v>99059544</v>
      </c>
      <c r="E87" s="310">
        <v>170120430</v>
      </c>
      <c r="F87" s="310">
        <v>48984493</v>
      </c>
      <c r="G87" s="310">
        <v>661992457</v>
      </c>
      <c r="H87" s="310">
        <v>128356622</v>
      </c>
      <c r="I87" s="311">
        <v>0</v>
      </c>
      <c r="J87" s="310">
        <v>1383494210</v>
      </c>
      <c r="K87" s="310">
        <v>631827811</v>
      </c>
      <c r="L87" s="310">
        <v>2500997</v>
      </c>
      <c r="M87" s="310">
        <v>126428907</v>
      </c>
      <c r="N87" s="310">
        <v>37940551</v>
      </c>
      <c r="O87" s="310">
        <v>8390821</v>
      </c>
      <c r="P87" s="310">
        <v>692855850</v>
      </c>
      <c r="Q87" s="310">
        <v>53449920</v>
      </c>
      <c r="R87" s="310">
        <v>4688937459</v>
      </c>
      <c r="S87" s="310">
        <v>45351211</v>
      </c>
      <c r="T87" s="310">
        <v>1337174083</v>
      </c>
      <c r="U87" s="310">
        <v>1450000</v>
      </c>
      <c r="V87" s="310">
        <v>23795837</v>
      </c>
      <c r="W87" s="310">
        <v>22139556</v>
      </c>
      <c r="X87" s="310">
        <v>81645082</v>
      </c>
      <c r="Y87" s="310">
        <v>1456500</v>
      </c>
      <c r="Z87" s="311">
        <v>0</v>
      </c>
      <c r="AA87" s="310">
        <v>58654684</v>
      </c>
      <c r="AB87" s="311">
        <v>0</v>
      </c>
      <c r="AC87" s="311">
        <v>0</v>
      </c>
      <c r="AD87" s="311">
        <v>0</v>
      </c>
      <c r="AE87" s="310">
        <v>2613983437</v>
      </c>
      <c r="AF87" s="316">
        <v>269442115</v>
      </c>
      <c r="AG87" s="310">
        <v>11370278</v>
      </c>
      <c r="AH87" s="310">
        <v>4466462783</v>
      </c>
      <c r="AI87" s="310">
        <v>101544213</v>
      </c>
      <c r="AJ87" s="310">
        <v>78508148</v>
      </c>
      <c r="AK87" s="310">
        <v>25361576</v>
      </c>
      <c r="AL87" s="310">
        <v>13130013</v>
      </c>
      <c r="AM87" s="310">
        <v>3930726</v>
      </c>
      <c r="AN87" s="310">
        <v>222474676</v>
      </c>
      <c r="AO87" s="311">
        <v>0</v>
      </c>
      <c r="AP87" s="311">
        <v>0</v>
      </c>
      <c r="AQ87" s="311">
        <v>21.52</v>
      </c>
    </row>
    <row r="88" spans="1:43">
      <c r="A88" s="216" t="s">
        <v>446</v>
      </c>
      <c r="B88" s="116">
        <f>SUM(C87:Q87)</f>
        <v>4688937459</v>
      </c>
    </row>
    <row r="89" spans="1:43">
      <c r="A89" s="215" t="s">
        <v>447</v>
      </c>
      <c r="B89" s="116">
        <f>SUM(S87:AG87)</f>
        <v>4466462783</v>
      </c>
    </row>
    <row r="90" spans="1:43">
      <c r="A90" s="215" t="s">
        <v>448</v>
      </c>
      <c r="B90" s="116">
        <f>AI87</f>
        <v>101544213</v>
      </c>
    </row>
    <row r="91" spans="1:43">
      <c r="A91" s="215" t="s">
        <v>449</v>
      </c>
      <c r="B91" s="317">
        <f>10*(B88-B89)/B90</f>
        <v>21.909143753962621</v>
      </c>
    </row>
    <row r="92" spans="1:43" ht="17.25" thickBot="1"/>
    <row r="93" spans="1:43" ht="17.25" thickBot="1">
      <c r="A93" s="274" t="s">
        <v>388</v>
      </c>
    </row>
    <row r="94" spans="1:43">
      <c r="A94" s="152" t="s">
        <v>289</v>
      </c>
      <c r="B94" s="169" t="s">
        <v>270</v>
      </c>
      <c r="C94" s="206" t="s">
        <v>89</v>
      </c>
      <c r="D94" s="206" t="s">
        <v>574</v>
      </c>
      <c r="E94" s="206" t="s">
        <v>559</v>
      </c>
      <c r="F94" s="206" t="s">
        <v>99</v>
      </c>
      <c r="G94" s="206" t="s">
        <v>438</v>
      </c>
      <c r="H94" s="206" t="s">
        <v>103</v>
      </c>
      <c r="I94" s="202" t="s">
        <v>114</v>
      </c>
      <c r="J94" s="202" t="s">
        <v>115</v>
      </c>
      <c r="K94" s="202" t="s">
        <v>570</v>
      </c>
      <c r="L94" s="202" t="s">
        <v>328</v>
      </c>
      <c r="M94" s="172" t="s">
        <v>329</v>
      </c>
      <c r="N94" s="172" t="s">
        <v>330</v>
      </c>
      <c r="O94" s="172" t="s">
        <v>331</v>
      </c>
      <c r="P94" s="172" t="s">
        <v>547</v>
      </c>
      <c r="Q94" s="210" t="s">
        <v>575</v>
      </c>
      <c r="R94" s="210" t="s">
        <v>576</v>
      </c>
      <c r="S94" s="169" t="s">
        <v>577</v>
      </c>
      <c r="T94" s="169" t="s">
        <v>19</v>
      </c>
      <c r="U94" s="169" t="s">
        <v>549</v>
      </c>
      <c r="V94" s="169" t="s">
        <v>557</v>
      </c>
      <c r="W94" s="169" t="s">
        <v>320</v>
      </c>
      <c r="X94" s="169" t="s">
        <v>578</v>
      </c>
      <c r="Y94" s="169" t="s">
        <v>552</v>
      </c>
      <c r="Z94" s="169" t="s">
        <v>554</v>
      </c>
    </row>
    <row r="95" spans="1:43" ht="17.25" thickBot="1">
      <c r="A95" s="153" t="s">
        <v>207</v>
      </c>
      <c r="B95" s="170"/>
      <c r="C95" s="208"/>
      <c r="D95" s="208"/>
      <c r="E95" s="208"/>
      <c r="F95" s="208"/>
      <c r="G95" s="208"/>
      <c r="H95" s="208"/>
      <c r="I95" s="204"/>
      <c r="J95" s="204"/>
      <c r="K95" s="204"/>
      <c r="L95" s="204"/>
      <c r="M95" s="173"/>
      <c r="N95" s="173"/>
      <c r="O95" s="173"/>
      <c r="P95" s="173"/>
      <c r="Q95" s="212"/>
      <c r="R95" s="212"/>
      <c r="S95" s="170"/>
      <c r="T95" s="170"/>
      <c r="U95" s="170"/>
      <c r="V95" s="170"/>
      <c r="W95" s="170"/>
      <c r="X95" s="170"/>
      <c r="Y95" s="170"/>
      <c r="Z95" s="170"/>
    </row>
    <row r="96" spans="1:43" ht="17.25" thickBot="1">
      <c r="A96" s="300">
        <v>2823</v>
      </c>
      <c r="B96" s="300" t="s">
        <v>573</v>
      </c>
      <c r="C96" s="301">
        <v>131766391</v>
      </c>
      <c r="D96" s="301">
        <v>35948201</v>
      </c>
      <c r="E96" s="301">
        <v>403938880</v>
      </c>
      <c r="F96" s="301">
        <v>4403574</v>
      </c>
      <c r="G96" s="301">
        <v>18603</v>
      </c>
      <c r="H96" s="301">
        <v>72677393</v>
      </c>
      <c r="I96" s="301">
        <v>5113585</v>
      </c>
      <c r="J96" s="301">
        <v>292177</v>
      </c>
      <c r="K96" s="301">
        <v>546644955</v>
      </c>
      <c r="L96" s="301">
        <v>64881534</v>
      </c>
      <c r="M96" s="301">
        <v>17086119</v>
      </c>
      <c r="N96" s="301">
        <v>3761336</v>
      </c>
      <c r="O96" s="301">
        <v>7300089</v>
      </c>
      <c r="P96" s="301">
        <v>3673247</v>
      </c>
      <c r="Q96" s="301">
        <v>648753042</v>
      </c>
      <c r="R96" s="301">
        <v>616932251</v>
      </c>
      <c r="S96" s="301">
        <v>31820791</v>
      </c>
      <c r="T96" s="302">
        <v>18.62</v>
      </c>
      <c r="U96" s="302">
        <v>0</v>
      </c>
      <c r="V96" s="302">
        <v>0</v>
      </c>
      <c r="W96" s="302">
        <v>0</v>
      </c>
      <c r="X96" s="302">
        <v>0</v>
      </c>
      <c r="Y96" s="302">
        <v>0</v>
      </c>
      <c r="Z96" s="302">
        <v>0</v>
      </c>
    </row>
    <row r="97" spans="1:2">
      <c r="A97" s="216" t="s">
        <v>446</v>
      </c>
      <c r="B97" s="116">
        <f>SUM(C96:H96)</f>
        <v>648753042</v>
      </c>
    </row>
    <row r="98" spans="1:2">
      <c r="A98" s="215" t="s">
        <v>447</v>
      </c>
      <c r="B98" s="116">
        <f>SUM(I96:L96)</f>
        <v>616932251</v>
      </c>
    </row>
    <row r="99" spans="1:2">
      <c r="A99" s="215" t="s">
        <v>448</v>
      </c>
      <c r="B99" s="116">
        <f>M96</f>
        <v>17086119</v>
      </c>
    </row>
    <row r="100" spans="1:2">
      <c r="A100" s="215" t="s">
        <v>449</v>
      </c>
      <c r="B100" s="317">
        <f>10*(B97-B98)/B99</f>
        <v>18.623767632661345</v>
      </c>
    </row>
  </sheetData>
  <mergeCells count="371">
    <mergeCell ref="Z94:Z95"/>
    <mergeCell ref="T94:T95"/>
    <mergeCell ref="U94:U95"/>
    <mergeCell ref="V94:V95"/>
    <mergeCell ref="W94:W95"/>
    <mergeCell ref="X94:X95"/>
    <mergeCell ref="Y94:Y95"/>
    <mergeCell ref="N94:N95"/>
    <mergeCell ref="O94:O95"/>
    <mergeCell ref="P94:P95"/>
    <mergeCell ref="Q94:Q95"/>
    <mergeCell ref="R94:R95"/>
    <mergeCell ref="S94:S95"/>
    <mergeCell ref="H94:H95"/>
    <mergeCell ref="I94:I95"/>
    <mergeCell ref="J94:J95"/>
    <mergeCell ref="K94:K95"/>
    <mergeCell ref="L94:L95"/>
    <mergeCell ref="M94:M95"/>
    <mergeCell ref="AM85:AM86"/>
    <mergeCell ref="AN85:AN86"/>
    <mergeCell ref="AO85:AO86"/>
    <mergeCell ref="AP85:AP86"/>
    <mergeCell ref="AQ85:AQ86"/>
    <mergeCell ref="C94:C95"/>
    <mergeCell ref="D94:D95"/>
    <mergeCell ref="E94:E95"/>
    <mergeCell ref="F94:F95"/>
    <mergeCell ref="G94:G95"/>
    <mergeCell ref="AG85:AG86"/>
    <mergeCell ref="AH85:AH86"/>
    <mergeCell ref="AI85:AI86"/>
    <mergeCell ref="AJ85:AJ86"/>
    <mergeCell ref="AK85:AK86"/>
    <mergeCell ref="AL85:AL86"/>
    <mergeCell ref="AA85:AA86"/>
    <mergeCell ref="AB85:AB86"/>
    <mergeCell ref="AC85:AC86"/>
    <mergeCell ref="AD85:AD86"/>
    <mergeCell ref="AE85:AE86"/>
    <mergeCell ref="AF85:AF86"/>
    <mergeCell ref="U85:U86"/>
    <mergeCell ref="V85:V86"/>
    <mergeCell ref="W85:W86"/>
    <mergeCell ref="X85:X86"/>
    <mergeCell ref="Y85:Y86"/>
    <mergeCell ref="Z85:Z86"/>
    <mergeCell ref="O85:O86"/>
    <mergeCell ref="P85:P86"/>
    <mergeCell ref="Q85:Q86"/>
    <mergeCell ref="R85:R86"/>
    <mergeCell ref="S85:S86"/>
    <mergeCell ref="T85:T86"/>
    <mergeCell ref="I85:I86"/>
    <mergeCell ref="J85:J86"/>
    <mergeCell ref="K85:K86"/>
    <mergeCell ref="L85:L86"/>
    <mergeCell ref="M85:M86"/>
    <mergeCell ref="N85:N86"/>
    <mergeCell ref="C85:C86"/>
    <mergeCell ref="D85:D86"/>
    <mergeCell ref="E85:E86"/>
    <mergeCell ref="F85:F86"/>
    <mergeCell ref="G85:G86"/>
    <mergeCell ref="H85:H86"/>
    <mergeCell ref="V76:V77"/>
    <mergeCell ref="W76:W77"/>
    <mergeCell ref="X76:X77"/>
    <mergeCell ref="P76:P77"/>
    <mergeCell ref="Q76:Q77"/>
    <mergeCell ref="R76:R77"/>
    <mergeCell ref="S76:S77"/>
    <mergeCell ref="T76:T77"/>
    <mergeCell ref="U76:U77"/>
    <mergeCell ref="J76:J77"/>
    <mergeCell ref="K76:K77"/>
    <mergeCell ref="L76:L77"/>
    <mergeCell ref="M76:M77"/>
    <mergeCell ref="N76:N77"/>
    <mergeCell ref="O76:O77"/>
    <mergeCell ref="V67:V68"/>
    <mergeCell ref="W67:W68"/>
    <mergeCell ref="X67:X68"/>
    <mergeCell ref="C76:C77"/>
    <mergeCell ref="D76:D77"/>
    <mergeCell ref="E76:E77"/>
    <mergeCell ref="F76:F77"/>
    <mergeCell ref="G76:G77"/>
    <mergeCell ref="H76:H77"/>
    <mergeCell ref="I76:I77"/>
    <mergeCell ref="P67:P68"/>
    <mergeCell ref="Q67:Q68"/>
    <mergeCell ref="R67:R68"/>
    <mergeCell ref="S67:S68"/>
    <mergeCell ref="T67:T68"/>
    <mergeCell ref="U67:U68"/>
    <mergeCell ref="J67:J68"/>
    <mergeCell ref="K67:K68"/>
    <mergeCell ref="L67:L68"/>
    <mergeCell ref="M67:M68"/>
    <mergeCell ref="N67:N68"/>
    <mergeCell ref="O67:O68"/>
    <mergeCell ref="AF58:AF59"/>
    <mergeCell ref="AG58:AG59"/>
    <mergeCell ref="AH58:AH59"/>
    <mergeCell ref="C67:C68"/>
    <mergeCell ref="D67:D68"/>
    <mergeCell ref="E67:E68"/>
    <mergeCell ref="F67:F68"/>
    <mergeCell ref="G67:G68"/>
    <mergeCell ref="H67:H68"/>
    <mergeCell ref="I67:I68"/>
    <mergeCell ref="Z58:Z59"/>
    <mergeCell ref="AA58:AA59"/>
    <mergeCell ref="AB58:AB59"/>
    <mergeCell ref="AC58:AC59"/>
    <mergeCell ref="AD58:AD59"/>
    <mergeCell ref="AE58:AE59"/>
    <mergeCell ref="T58:T59"/>
    <mergeCell ref="U58:U59"/>
    <mergeCell ref="V58:V59"/>
    <mergeCell ref="W58:W59"/>
    <mergeCell ref="X58:X59"/>
    <mergeCell ref="Y58:Y59"/>
    <mergeCell ref="N58:N59"/>
    <mergeCell ref="O58:O59"/>
    <mergeCell ref="P58:P59"/>
    <mergeCell ref="Q58:Q59"/>
    <mergeCell ref="R58:R59"/>
    <mergeCell ref="S58:S59"/>
    <mergeCell ref="H58:H59"/>
    <mergeCell ref="I58:I59"/>
    <mergeCell ref="J58:J59"/>
    <mergeCell ref="K58:K59"/>
    <mergeCell ref="L58:L59"/>
    <mergeCell ref="M58:M59"/>
    <mergeCell ref="C58:C59"/>
    <mergeCell ref="D58:D59"/>
    <mergeCell ref="E58:E59"/>
    <mergeCell ref="F58:F59"/>
    <mergeCell ref="G58:G59"/>
    <mergeCell ref="B58:B59"/>
    <mergeCell ref="B67:B68"/>
    <mergeCell ref="B76:B77"/>
    <mergeCell ref="B85:B86"/>
    <mergeCell ref="B94:B95"/>
    <mergeCell ref="AW38:AW39"/>
    <mergeCell ref="K47:K48"/>
    <mergeCell ref="L47:L48"/>
    <mergeCell ref="M47:M48"/>
    <mergeCell ref="N47:N48"/>
    <mergeCell ref="O47:O48"/>
    <mergeCell ref="P47:P48"/>
    <mergeCell ref="Q47:Q48"/>
    <mergeCell ref="R47:R48"/>
    <mergeCell ref="S47:S48"/>
    <mergeCell ref="AQ38:AQ39"/>
    <mergeCell ref="AR38:AR39"/>
    <mergeCell ref="AS38:AS39"/>
    <mergeCell ref="AT38:AT39"/>
    <mergeCell ref="AU38:AU39"/>
    <mergeCell ref="AV38:AV39"/>
    <mergeCell ref="AK38:AK39"/>
    <mergeCell ref="AL38:AL39"/>
    <mergeCell ref="AM38:AM39"/>
    <mergeCell ref="AN38:AN39"/>
    <mergeCell ref="AO38:AO39"/>
    <mergeCell ref="AP38:AP39"/>
    <mergeCell ref="AE38:AE39"/>
    <mergeCell ref="AF38:AF39"/>
    <mergeCell ref="AG38:AG39"/>
    <mergeCell ref="AH38:AH39"/>
    <mergeCell ref="AI38:AI39"/>
    <mergeCell ref="AJ38:AJ39"/>
    <mergeCell ref="BC29:BC30"/>
    <mergeCell ref="BD29:BD30"/>
    <mergeCell ref="BE29:BE30"/>
    <mergeCell ref="P38:P39"/>
    <mergeCell ref="Q38:Q39"/>
    <mergeCell ref="R38:R39"/>
    <mergeCell ref="S38:S39"/>
    <mergeCell ref="T38:T39"/>
    <mergeCell ref="U38:U39"/>
    <mergeCell ref="V38:V39"/>
    <mergeCell ref="AW29:AW30"/>
    <mergeCell ref="AX29:AX30"/>
    <mergeCell ref="AY29:AY30"/>
    <mergeCell ref="AZ29:AZ30"/>
    <mergeCell ref="BA29:BA30"/>
    <mergeCell ref="BB29:BB30"/>
    <mergeCell ref="AQ29:AQ30"/>
    <mergeCell ref="AR29:AR30"/>
    <mergeCell ref="AS29:AS30"/>
    <mergeCell ref="AT29:AT30"/>
    <mergeCell ref="AU29:AU30"/>
    <mergeCell ref="AV29:AV30"/>
    <mergeCell ref="AK29:AK30"/>
    <mergeCell ref="AL29:AL30"/>
    <mergeCell ref="AM29:AM30"/>
    <mergeCell ref="AN29:AN30"/>
    <mergeCell ref="AO29:AO30"/>
    <mergeCell ref="AP29:AP30"/>
    <mergeCell ref="AE29:AE30"/>
    <mergeCell ref="AF29:AF30"/>
    <mergeCell ref="AG29:AG30"/>
    <mergeCell ref="AH29:AH30"/>
    <mergeCell ref="AI29:AI30"/>
    <mergeCell ref="AJ29:AJ30"/>
    <mergeCell ref="V11:V12"/>
    <mergeCell ref="O29:O30"/>
    <mergeCell ref="P29:P30"/>
    <mergeCell ref="Q29:Q30"/>
    <mergeCell ref="R29:R30"/>
    <mergeCell ref="S29:S30"/>
    <mergeCell ref="T29:T30"/>
    <mergeCell ref="U29:U30"/>
    <mergeCell ref="V29:V30"/>
    <mergeCell ref="BC2:BC3"/>
    <mergeCell ref="BD2:BD3"/>
    <mergeCell ref="BE2:BE3"/>
    <mergeCell ref="O11:O12"/>
    <mergeCell ref="P11:P12"/>
    <mergeCell ref="Q11:Q12"/>
    <mergeCell ref="R11:R12"/>
    <mergeCell ref="S11:S12"/>
    <mergeCell ref="T11:T12"/>
    <mergeCell ref="U11:U12"/>
    <mergeCell ref="AW2:AW3"/>
    <mergeCell ref="AX2:AX3"/>
    <mergeCell ref="AY2:AY3"/>
    <mergeCell ref="AZ2:AZ3"/>
    <mergeCell ref="BA2:BA3"/>
    <mergeCell ref="BB2:BB3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O2:O3"/>
    <mergeCell ref="P2:P3"/>
    <mergeCell ref="Q2:Q3"/>
    <mergeCell ref="R2:R3"/>
    <mergeCell ref="S2:S3"/>
    <mergeCell ref="T2:T3"/>
    <mergeCell ref="U2:U3"/>
    <mergeCell ref="J47:J48"/>
    <mergeCell ref="T47:T48"/>
    <mergeCell ref="U47:U48"/>
    <mergeCell ref="V47:V48"/>
    <mergeCell ref="AC38:AC39"/>
    <mergeCell ref="AD38:AD39"/>
    <mergeCell ref="B47:B48"/>
    <mergeCell ref="C47:C48"/>
    <mergeCell ref="D47:D48"/>
    <mergeCell ref="E47:E48"/>
    <mergeCell ref="F47:F48"/>
    <mergeCell ref="G47:G48"/>
    <mergeCell ref="H47:H48"/>
    <mergeCell ref="I47:I48"/>
    <mergeCell ref="W38:W39"/>
    <mergeCell ref="X38:X39"/>
    <mergeCell ref="Y38:Y39"/>
    <mergeCell ref="Z38:Z39"/>
    <mergeCell ref="AA38:AA39"/>
    <mergeCell ref="AB38:AB39"/>
    <mergeCell ref="J38:J39"/>
    <mergeCell ref="K38:K39"/>
    <mergeCell ref="L38:L39"/>
    <mergeCell ref="M38:M39"/>
    <mergeCell ref="N38:N39"/>
    <mergeCell ref="O38:O39"/>
    <mergeCell ref="AC29:AC30"/>
    <mergeCell ref="AD29:AD30"/>
    <mergeCell ref="B38:B39"/>
    <mergeCell ref="C38:C39"/>
    <mergeCell ref="D38:D39"/>
    <mergeCell ref="E38:E39"/>
    <mergeCell ref="F38:F39"/>
    <mergeCell ref="G38:G39"/>
    <mergeCell ref="H38:H39"/>
    <mergeCell ref="I38:I39"/>
    <mergeCell ref="W29:W30"/>
    <mergeCell ref="X29:X30"/>
    <mergeCell ref="Y29:Y30"/>
    <mergeCell ref="Z29:Z30"/>
    <mergeCell ref="AA29:AA30"/>
    <mergeCell ref="AB29:AB30"/>
    <mergeCell ref="I29:I30"/>
    <mergeCell ref="J29:J30"/>
    <mergeCell ref="K29:K30"/>
    <mergeCell ref="L29:L30"/>
    <mergeCell ref="M29:M30"/>
    <mergeCell ref="N29:N30"/>
    <mergeCell ref="B29:B30"/>
    <mergeCell ref="C29:C30"/>
    <mergeCell ref="D29:D30"/>
    <mergeCell ref="E29:E30"/>
    <mergeCell ref="F29:F30"/>
    <mergeCell ref="G29:G30"/>
    <mergeCell ref="H29:H30"/>
    <mergeCell ref="V20:V21"/>
    <mergeCell ref="W20:W21"/>
    <mergeCell ref="P20:P21"/>
    <mergeCell ref="Q20:Q21"/>
    <mergeCell ref="R20:R21"/>
    <mergeCell ref="S20:S21"/>
    <mergeCell ref="T20:T21"/>
    <mergeCell ref="U20:U21"/>
    <mergeCell ref="J20:J21"/>
    <mergeCell ref="K20:K21"/>
    <mergeCell ref="L20:L21"/>
    <mergeCell ref="M20:M21"/>
    <mergeCell ref="N20:N21"/>
    <mergeCell ref="O20:O21"/>
    <mergeCell ref="B20:B21"/>
    <mergeCell ref="C20:C21"/>
    <mergeCell ref="D20:D21"/>
    <mergeCell ref="E20:E21"/>
    <mergeCell ref="F20:F21"/>
    <mergeCell ref="G20:G21"/>
    <mergeCell ref="H20:H21"/>
    <mergeCell ref="I20:I21"/>
    <mergeCell ref="W11:W12"/>
    <mergeCell ref="I11:I12"/>
    <mergeCell ref="J11:J12"/>
    <mergeCell ref="K11:K12"/>
    <mergeCell ref="L11:L12"/>
    <mergeCell ref="M11:M12"/>
    <mergeCell ref="N11:N12"/>
    <mergeCell ref="AB2:AB3"/>
    <mergeCell ref="AC2:AC3"/>
    <mergeCell ref="AD2:AD3"/>
    <mergeCell ref="B11:B12"/>
    <mergeCell ref="C11:C12"/>
    <mergeCell ref="D11:D12"/>
    <mergeCell ref="E11:E12"/>
    <mergeCell ref="F11:F12"/>
    <mergeCell ref="G11:G12"/>
    <mergeCell ref="H11:H12"/>
    <mergeCell ref="N2:N3"/>
    <mergeCell ref="W2:W3"/>
    <mergeCell ref="X2:X3"/>
    <mergeCell ref="Y2:Y3"/>
    <mergeCell ref="Z2:Z3"/>
    <mergeCell ref="AA2:AA3"/>
    <mergeCell ref="V2:V3"/>
    <mergeCell ref="H2:H3"/>
    <mergeCell ref="I2:I3"/>
    <mergeCell ref="J2:J3"/>
    <mergeCell ref="K2:K3"/>
    <mergeCell ref="L2:L3"/>
    <mergeCell ref="M2:M3"/>
    <mergeCell ref="B2:B3"/>
    <mergeCell ref="C2:C3"/>
    <mergeCell ref="D2:D3"/>
    <mergeCell ref="E2:E3"/>
    <mergeCell ref="F2:F3"/>
    <mergeCell ref="G2:G3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K19"/>
  <sheetViews>
    <sheetView tabSelected="1" zoomScale="55" zoomScaleNormal="55" workbookViewId="0">
      <pane xSplit="1" topLeftCell="B1" activePane="topRight" state="frozen"/>
      <selection pane="topRight" sqref="A1:A1048576"/>
    </sheetView>
  </sheetViews>
  <sheetFormatPr defaultRowHeight="16.5"/>
  <cols>
    <col min="1" max="1" width="9.5" style="74" bestFit="1" customWidth="1"/>
    <col min="3" max="3" width="9" style="74" bestFit="1" customWidth="1"/>
    <col min="4" max="4" width="11" style="74" bestFit="1" customWidth="1"/>
    <col min="5" max="5" width="15.125" bestFit="1" customWidth="1"/>
    <col min="6" max="6" width="9" style="74" bestFit="1" customWidth="1"/>
    <col min="7" max="7" width="15.125" style="74" customWidth="1"/>
    <col min="8" max="8" width="11" style="74" bestFit="1" customWidth="1"/>
    <col min="9" max="9" width="31.375" style="74" customWidth="1"/>
    <col min="10" max="10" width="5.25" style="74" bestFit="1" customWidth="1"/>
    <col min="11" max="11" width="15.125" style="74" customWidth="1"/>
    <col min="12" max="12" width="22.375" customWidth="1"/>
    <col min="13" max="13" width="31.25" customWidth="1"/>
    <col min="14" max="14" width="39" customWidth="1"/>
    <col min="15" max="15" width="31.75" bestFit="1" customWidth="1"/>
    <col min="16" max="16" width="26.75" bestFit="1" customWidth="1"/>
    <col min="17" max="17" width="28.25" customWidth="1"/>
    <col min="18" max="18" width="14" customWidth="1"/>
    <col min="19" max="19" width="15.125" bestFit="1" customWidth="1"/>
    <col min="20" max="20" width="17.25" bestFit="1" customWidth="1"/>
    <col min="21" max="21" width="25.5" bestFit="1" customWidth="1"/>
    <col min="22" max="22" width="17.25" bestFit="1" customWidth="1"/>
    <col min="23" max="23" width="23.5" bestFit="1" customWidth="1"/>
    <col min="24" max="24" width="17.25" bestFit="1" customWidth="1"/>
    <col min="25" max="26" width="19.25" bestFit="1" customWidth="1"/>
    <col min="27" max="27" width="17.25" bestFit="1" customWidth="1"/>
    <col min="28" max="28" width="26.75" bestFit="1" customWidth="1"/>
    <col min="29" max="29" width="17.25" bestFit="1" customWidth="1"/>
    <col min="30" max="32" width="15.125" bestFit="1" customWidth="1"/>
    <col min="33" max="33" width="21.375" bestFit="1" customWidth="1"/>
    <col min="35" max="35" width="9" style="74"/>
    <col min="36" max="36" width="11" style="74" bestFit="1" customWidth="1"/>
    <col min="37" max="37" width="19.25" bestFit="1" customWidth="1"/>
    <col min="38" max="38" width="15.125" bestFit="1" customWidth="1"/>
    <col min="39" max="39" width="33.875" bestFit="1" customWidth="1"/>
    <col min="40" max="40" width="25.5" bestFit="1" customWidth="1"/>
    <col min="41" max="41" width="33.875" bestFit="1" customWidth="1"/>
    <col min="42" max="42" width="32.875" style="74" customWidth="1"/>
    <col min="43" max="43" width="18.75" style="74" customWidth="1"/>
    <col min="44" max="44" width="21.375" style="74" customWidth="1"/>
    <col min="45" max="45" width="9" bestFit="1" customWidth="1"/>
    <col min="46" max="46" width="15.125" bestFit="1" customWidth="1"/>
    <col min="47" max="47" width="27.625" bestFit="1" customWidth="1"/>
    <col min="48" max="48" width="11" bestFit="1" customWidth="1"/>
    <col min="49" max="49" width="13" bestFit="1" customWidth="1"/>
    <col min="50" max="50" width="13" style="74" customWidth="1"/>
    <col min="51" max="51" width="9" bestFit="1" customWidth="1"/>
    <col min="52" max="52" width="8.625" style="74" customWidth="1"/>
    <col min="53" max="53" width="28.125" style="74" customWidth="1"/>
    <col min="54" max="54" width="15.5" style="74" customWidth="1"/>
    <col min="55" max="55" width="11" bestFit="1" customWidth="1"/>
    <col min="56" max="56" width="13" bestFit="1" customWidth="1"/>
    <col min="57" max="58" width="9" bestFit="1" customWidth="1"/>
    <col min="59" max="59" width="15.125" bestFit="1" customWidth="1"/>
    <col min="61" max="61" width="21.375" bestFit="1" customWidth="1"/>
    <col min="62" max="62" width="7.5" customWidth="1"/>
    <col min="64" max="64" width="21.375" bestFit="1" customWidth="1"/>
  </cols>
  <sheetData>
    <row r="1" spans="1:63" ht="17.25" thickBot="1">
      <c r="A1" s="195" t="s">
        <v>401</v>
      </c>
      <c r="C1" s="296" t="s">
        <v>491</v>
      </c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8"/>
      <c r="AI1" s="296" t="s">
        <v>494</v>
      </c>
      <c r="AJ1" s="297"/>
      <c r="AK1" s="297"/>
      <c r="AL1" s="297"/>
      <c r="AM1" s="297"/>
      <c r="AN1" s="297"/>
      <c r="AO1" s="297"/>
      <c r="AP1" s="297"/>
      <c r="AQ1" s="297"/>
      <c r="AR1" s="297"/>
      <c r="AS1" s="297"/>
      <c r="AT1" s="297"/>
      <c r="AU1" s="297"/>
      <c r="AV1" s="297"/>
      <c r="AW1" s="297"/>
      <c r="AX1" s="297"/>
      <c r="AY1" s="297"/>
      <c r="AZ1" s="297"/>
      <c r="BA1" s="297"/>
      <c r="BB1" s="297"/>
      <c r="BC1" s="297"/>
      <c r="BD1" s="297"/>
      <c r="BE1" s="297"/>
      <c r="BF1" s="297"/>
      <c r="BG1" s="297"/>
      <c r="BH1" s="297"/>
      <c r="BI1" s="297"/>
      <c r="BK1" s="74"/>
    </row>
    <row r="2" spans="1:63" ht="17.25" thickBot="1"/>
    <row r="3" spans="1:63">
      <c r="A3" s="191" t="s">
        <v>361</v>
      </c>
      <c r="E3" s="207" t="s">
        <v>290</v>
      </c>
      <c r="L3" s="207" t="s">
        <v>407</v>
      </c>
      <c r="M3" s="207" t="s">
        <v>292</v>
      </c>
      <c r="N3" s="207" t="s">
        <v>293</v>
      </c>
      <c r="O3" s="207" t="s">
        <v>294</v>
      </c>
      <c r="P3" s="288" t="s">
        <v>483</v>
      </c>
      <c r="Q3" s="288" t="s">
        <v>482</v>
      </c>
      <c r="R3" s="207" t="s">
        <v>297</v>
      </c>
      <c r="S3" s="207" t="s">
        <v>298</v>
      </c>
      <c r="T3" s="207" t="s">
        <v>299</v>
      </c>
      <c r="U3" s="207" t="s">
        <v>410</v>
      </c>
      <c r="V3" s="207" t="s">
        <v>300</v>
      </c>
      <c r="W3" s="207" t="s">
        <v>302</v>
      </c>
      <c r="X3" s="207" t="s">
        <v>303</v>
      </c>
      <c r="Y3" s="207" t="s">
        <v>304</v>
      </c>
      <c r="Z3" s="207" t="s">
        <v>306</v>
      </c>
      <c r="AA3" s="207" t="s">
        <v>307</v>
      </c>
      <c r="AB3" s="289" t="s">
        <v>485</v>
      </c>
      <c r="AD3" s="288" t="s">
        <v>488</v>
      </c>
      <c r="AE3" s="207" t="s">
        <v>309</v>
      </c>
      <c r="AF3" s="288" t="s">
        <v>487</v>
      </c>
      <c r="AK3" s="203" t="s">
        <v>412</v>
      </c>
      <c r="AL3" s="203" t="s">
        <v>312</v>
      </c>
      <c r="AM3" s="203" t="s">
        <v>313</v>
      </c>
      <c r="AN3" s="293" t="s">
        <v>492</v>
      </c>
      <c r="AO3" s="203" t="s">
        <v>315</v>
      </c>
      <c r="AS3" s="203" t="s">
        <v>317</v>
      </c>
      <c r="AT3" s="203" t="s">
        <v>318</v>
      </c>
      <c r="AU3" s="203" t="s">
        <v>319</v>
      </c>
      <c r="AV3" s="203" t="s">
        <v>320</v>
      </c>
      <c r="AW3" s="293" t="s">
        <v>493</v>
      </c>
      <c r="AX3" s="203" t="s">
        <v>415</v>
      </c>
      <c r="BC3" s="203" t="s">
        <v>323</v>
      </c>
      <c r="BD3" s="203" t="s">
        <v>325</v>
      </c>
      <c r="BE3" s="203" t="s">
        <v>324</v>
      </c>
      <c r="BF3" s="203" t="s">
        <v>326</v>
      </c>
      <c r="BG3" s="203" t="s">
        <v>327</v>
      </c>
      <c r="BH3" s="203" t="s">
        <v>328</v>
      </c>
    </row>
    <row r="4" spans="1:63" ht="17.25" thickBot="1">
      <c r="A4" s="192"/>
      <c r="E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D4" s="209"/>
      <c r="AE4" s="209"/>
      <c r="AF4" s="209"/>
      <c r="AK4" s="205"/>
      <c r="AL4" s="205"/>
      <c r="AM4" s="205"/>
      <c r="AN4" s="205"/>
      <c r="AO4" s="205"/>
      <c r="AS4" s="205"/>
      <c r="AT4" s="205"/>
      <c r="AU4" s="205"/>
      <c r="AV4" s="205"/>
      <c r="AW4" s="205"/>
      <c r="AX4" s="205"/>
      <c r="BC4" s="205"/>
      <c r="BD4" s="205"/>
      <c r="BE4" s="205"/>
      <c r="BF4" s="205"/>
      <c r="BG4" s="205"/>
      <c r="BH4" s="205"/>
    </row>
    <row r="5" spans="1:63" ht="17.25" thickBot="1">
      <c r="A5" s="117"/>
    </row>
    <row r="6" spans="1:63">
      <c r="A6" s="183" t="s">
        <v>380</v>
      </c>
      <c r="C6" s="207" t="s">
        <v>89</v>
      </c>
      <c r="D6" s="207" t="s">
        <v>420</v>
      </c>
      <c r="AI6" s="203" t="s">
        <v>114</v>
      </c>
      <c r="AJ6" s="203" t="s">
        <v>422</v>
      </c>
    </row>
    <row r="7" spans="1:63" ht="17.25" thickBot="1">
      <c r="A7" s="184"/>
      <c r="C7" s="209"/>
      <c r="D7" s="209"/>
      <c r="AI7" s="205"/>
      <c r="AJ7" s="205"/>
    </row>
    <row r="8" spans="1:63" ht="17.25" thickBot="1">
      <c r="A8" s="117"/>
      <c r="C8"/>
      <c r="D8"/>
    </row>
    <row r="9" spans="1:63">
      <c r="A9" s="183" t="s">
        <v>386</v>
      </c>
      <c r="C9" s="207" t="s">
        <v>89</v>
      </c>
      <c r="D9" s="207" t="s">
        <v>420</v>
      </c>
      <c r="AI9" s="203" t="s">
        <v>114</v>
      </c>
      <c r="AJ9" s="203" t="s">
        <v>422</v>
      </c>
    </row>
    <row r="10" spans="1:63" ht="17.25" thickBot="1">
      <c r="A10" s="184"/>
      <c r="C10" s="209"/>
      <c r="D10" s="209"/>
      <c r="AI10" s="205"/>
      <c r="AJ10" s="205"/>
    </row>
    <row r="11" spans="1:63" ht="17.25" thickBot="1">
      <c r="A11" s="117"/>
    </row>
    <row r="12" spans="1:63">
      <c r="A12" s="183" t="s">
        <v>387</v>
      </c>
      <c r="E12" s="207" t="s">
        <v>290</v>
      </c>
      <c r="L12" s="207" t="s">
        <v>291</v>
      </c>
      <c r="M12" s="207" t="s">
        <v>292</v>
      </c>
      <c r="N12" s="207" t="s">
        <v>293</v>
      </c>
      <c r="O12" s="207" t="s">
        <v>294</v>
      </c>
      <c r="P12" s="207" t="s">
        <v>295</v>
      </c>
      <c r="Q12" s="207" t="s">
        <v>296</v>
      </c>
      <c r="R12" s="207" t="s">
        <v>297</v>
      </c>
      <c r="S12" s="207" t="s">
        <v>298</v>
      </c>
      <c r="T12" s="288" t="s">
        <v>484</v>
      </c>
      <c r="U12" s="207"/>
      <c r="V12" s="207" t="s">
        <v>300</v>
      </c>
      <c r="W12" s="207" t="s">
        <v>301</v>
      </c>
      <c r="X12" s="207" t="s">
        <v>302</v>
      </c>
      <c r="Y12" s="207" t="s">
        <v>303</v>
      </c>
      <c r="Z12" s="207" t="s">
        <v>304</v>
      </c>
      <c r="AA12" s="207" t="s">
        <v>305</v>
      </c>
      <c r="AB12" s="289" t="s">
        <v>490</v>
      </c>
      <c r="AC12" s="288" t="s">
        <v>489</v>
      </c>
      <c r="AD12" s="288" t="s">
        <v>488</v>
      </c>
      <c r="AE12" s="207" t="s">
        <v>309</v>
      </c>
      <c r="AF12" s="288" t="s">
        <v>486</v>
      </c>
      <c r="AK12" s="203" t="s">
        <v>311</v>
      </c>
      <c r="AL12" s="203" t="s">
        <v>312</v>
      </c>
      <c r="AM12" s="203" t="s">
        <v>313</v>
      </c>
      <c r="AN12" s="203" t="s">
        <v>314</v>
      </c>
      <c r="AO12" s="203" t="s">
        <v>315</v>
      </c>
      <c r="AR12" s="203" t="s">
        <v>316</v>
      </c>
      <c r="AS12" s="203" t="s">
        <v>317</v>
      </c>
      <c r="AT12" s="203" t="s">
        <v>318</v>
      </c>
      <c r="AU12" s="203" t="s">
        <v>319</v>
      </c>
      <c r="AV12" s="203" t="s">
        <v>320</v>
      </c>
      <c r="AW12" s="203" t="s">
        <v>321</v>
      </c>
      <c r="AY12" s="203" t="s">
        <v>322</v>
      </c>
      <c r="BC12" s="203" t="s">
        <v>323</v>
      </c>
      <c r="BD12" s="203" t="s">
        <v>325</v>
      </c>
      <c r="BE12" s="203" t="s">
        <v>324</v>
      </c>
      <c r="BF12" s="203" t="s">
        <v>326</v>
      </c>
      <c r="BG12" s="203" t="s">
        <v>327</v>
      </c>
      <c r="BH12" s="203" t="s">
        <v>328</v>
      </c>
    </row>
    <row r="13" spans="1:63" ht="17.25" thickBot="1">
      <c r="A13" s="184"/>
      <c r="E13" s="209"/>
      <c r="L13" s="209"/>
      <c r="M13" s="209"/>
      <c r="N13" s="209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  <c r="AA13" s="209"/>
      <c r="AB13" s="209"/>
      <c r="AC13" s="209"/>
      <c r="AD13" s="209"/>
      <c r="AE13" s="209"/>
      <c r="AF13" s="209"/>
      <c r="AK13" s="205"/>
      <c r="AL13" s="205"/>
      <c r="AM13" s="205"/>
      <c r="AN13" s="205"/>
      <c r="AO13" s="205"/>
      <c r="AR13" s="205"/>
      <c r="AS13" s="205"/>
      <c r="AT13" s="205"/>
      <c r="AU13" s="205"/>
      <c r="AV13" s="205"/>
      <c r="AW13" s="205"/>
      <c r="AY13" s="205"/>
      <c r="BC13" s="205"/>
      <c r="BD13" s="205"/>
      <c r="BE13" s="205"/>
      <c r="BF13" s="205"/>
      <c r="BG13" s="205"/>
      <c r="BH13" s="205"/>
    </row>
    <row r="14" spans="1:63" ht="17.25" thickBot="1">
      <c r="A14" s="117"/>
    </row>
    <row r="15" spans="1:63">
      <c r="A15" s="183" t="s">
        <v>388</v>
      </c>
      <c r="E15" s="207" t="s">
        <v>290</v>
      </c>
      <c r="F15" s="207" t="s">
        <v>430</v>
      </c>
      <c r="G15" s="207" t="s">
        <v>431</v>
      </c>
      <c r="H15" s="207" t="s">
        <v>432</v>
      </c>
      <c r="I15" s="207" t="s">
        <v>433</v>
      </c>
      <c r="J15" s="207" t="s">
        <v>434</v>
      </c>
      <c r="K15" s="207" t="s">
        <v>435</v>
      </c>
      <c r="AB15" s="207" t="s">
        <v>436</v>
      </c>
      <c r="AC15" s="207" t="s">
        <v>437</v>
      </c>
      <c r="AD15" s="207" t="s">
        <v>438</v>
      </c>
      <c r="AE15" s="207" t="s">
        <v>309</v>
      </c>
      <c r="AF15" s="207" t="s">
        <v>103</v>
      </c>
      <c r="AG15" s="207" t="s">
        <v>439</v>
      </c>
      <c r="AK15" s="203" t="s">
        <v>440</v>
      </c>
      <c r="AP15" s="203" t="s">
        <v>313</v>
      </c>
      <c r="AQ15" s="203" t="s">
        <v>314</v>
      </c>
      <c r="AS15" s="203" t="s">
        <v>317</v>
      </c>
      <c r="AT15" s="203" t="s">
        <v>441</v>
      </c>
      <c r="AU15" s="203" t="s">
        <v>319</v>
      </c>
      <c r="AW15" s="203" t="s">
        <v>321</v>
      </c>
      <c r="AZ15" s="203" t="s">
        <v>442</v>
      </c>
      <c r="BA15" s="203" t="s">
        <v>443</v>
      </c>
      <c r="BB15" s="203" t="s">
        <v>444</v>
      </c>
      <c r="BC15" s="203" t="s">
        <v>323</v>
      </c>
      <c r="BD15" s="203" t="s">
        <v>325</v>
      </c>
      <c r="BE15" s="203" t="s">
        <v>324</v>
      </c>
      <c r="BF15" s="203" t="s">
        <v>326</v>
      </c>
      <c r="BG15" s="203" t="s">
        <v>327</v>
      </c>
      <c r="BH15" s="203" t="s">
        <v>328</v>
      </c>
      <c r="BI15" s="203" t="s">
        <v>445</v>
      </c>
    </row>
    <row r="16" spans="1:63" ht="17.25" thickBot="1">
      <c r="A16" s="184"/>
      <c r="E16" s="209"/>
      <c r="F16" s="209"/>
      <c r="G16" s="209"/>
      <c r="H16" s="209"/>
      <c r="I16" s="209"/>
      <c r="J16" s="209"/>
      <c r="K16" s="209"/>
      <c r="AB16" s="209"/>
      <c r="AC16" s="209"/>
      <c r="AD16" s="209"/>
      <c r="AE16" s="209"/>
      <c r="AF16" s="209"/>
      <c r="AG16" s="209"/>
      <c r="AK16" s="205"/>
      <c r="AP16" s="205"/>
      <c r="AQ16" s="205"/>
      <c r="AS16" s="205"/>
      <c r="AT16" s="205"/>
      <c r="AU16" s="205"/>
      <c r="AW16" s="205"/>
      <c r="AZ16" s="205"/>
      <c r="BA16" s="205"/>
      <c r="BB16" s="205"/>
      <c r="BC16" s="205"/>
      <c r="BD16" s="205"/>
      <c r="BE16" s="205"/>
      <c r="BF16" s="205"/>
      <c r="BG16" s="205"/>
      <c r="BH16" s="205"/>
      <c r="BI16" s="205"/>
    </row>
    <row r="17" spans="1:36" ht="17.25" thickBot="1">
      <c r="A17" s="117"/>
    </row>
    <row r="18" spans="1:36">
      <c r="A18" s="191" t="s">
        <v>395</v>
      </c>
      <c r="C18" s="286" t="s">
        <v>89</v>
      </c>
      <c r="D18" s="286" t="s">
        <v>420</v>
      </c>
      <c r="AI18" s="294" t="s">
        <v>114</v>
      </c>
      <c r="AJ18" s="294" t="s">
        <v>422</v>
      </c>
    </row>
    <row r="19" spans="1:36" ht="17.25" thickBot="1">
      <c r="A19" s="192"/>
      <c r="C19" s="287"/>
      <c r="D19" s="287"/>
      <c r="AI19" s="295"/>
      <c r="AJ19" s="295"/>
    </row>
  </sheetData>
  <mergeCells count="128">
    <mergeCell ref="BB15:BB16"/>
    <mergeCell ref="BE15:BE16"/>
    <mergeCell ref="BG15:BG16"/>
    <mergeCell ref="BH15:BH16"/>
    <mergeCell ref="BI15:BI16"/>
    <mergeCell ref="AI18:AI19"/>
    <mergeCell ref="AJ18:AJ19"/>
    <mergeCell ref="AW15:AW16"/>
    <mergeCell ref="BC15:BC16"/>
    <mergeCell ref="BD15:BD16"/>
    <mergeCell ref="BF15:BF16"/>
    <mergeCell ref="AZ15:AZ16"/>
    <mergeCell ref="BA15:BA16"/>
    <mergeCell ref="BD12:BD13"/>
    <mergeCell ref="BF12:BF13"/>
    <mergeCell ref="BG12:BG13"/>
    <mergeCell ref="BH12:BH13"/>
    <mergeCell ref="AK15:AK16"/>
    <mergeCell ref="AS15:AS16"/>
    <mergeCell ref="AT15:AT16"/>
    <mergeCell ref="AU15:AU16"/>
    <mergeCell ref="AP15:AP16"/>
    <mergeCell ref="AQ15:AQ16"/>
    <mergeCell ref="AU12:AU13"/>
    <mergeCell ref="AV12:AV13"/>
    <mergeCell ref="AW12:AW13"/>
    <mergeCell ref="AY12:AY13"/>
    <mergeCell ref="BC12:BC13"/>
    <mergeCell ref="BE12:BE13"/>
    <mergeCell ref="AM12:AM13"/>
    <mergeCell ref="AN12:AN13"/>
    <mergeCell ref="AO12:AO13"/>
    <mergeCell ref="AR12:AR13"/>
    <mergeCell ref="AS12:AS13"/>
    <mergeCell ref="AT12:AT13"/>
    <mergeCell ref="BF3:BF4"/>
    <mergeCell ref="BG3:BG4"/>
    <mergeCell ref="BH3:BH4"/>
    <mergeCell ref="AI6:AI7"/>
    <mergeCell ref="AJ6:AJ7"/>
    <mergeCell ref="AI9:AI10"/>
    <mergeCell ref="AJ9:AJ10"/>
    <mergeCell ref="AV3:AV4"/>
    <mergeCell ref="AW3:AW4"/>
    <mergeCell ref="AX3:AX4"/>
    <mergeCell ref="BC3:BC4"/>
    <mergeCell ref="BD3:BD4"/>
    <mergeCell ref="BE3:BE4"/>
    <mergeCell ref="AM3:AM4"/>
    <mergeCell ref="AN3:AN4"/>
    <mergeCell ref="AO3:AO4"/>
    <mergeCell ref="AS3:AS4"/>
    <mergeCell ref="AT3:AT4"/>
    <mergeCell ref="AU3:AU4"/>
    <mergeCell ref="AG15:AG16"/>
    <mergeCell ref="C18:C19"/>
    <mergeCell ref="D18:D19"/>
    <mergeCell ref="C1:AG1"/>
    <mergeCell ref="AK3:AK4"/>
    <mergeCell ref="AL3:AL4"/>
    <mergeCell ref="AK12:AK13"/>
    <mergeCell ref="AL12:AL13"/>
    <mergeCell ref="AI1:BI1"/>
    <mergeCell ref="K15:K16"/>
    <mergeCell ref="AB15:AB16"/>
    <mergeCell ref="AC15:AC16"/>
    <mergeCell ref="AD15:AD16"/>
    <mergeCell ref="AE15:AE16"/>
    <mergeCell ref="AF15:AF16"/>
    <mergeCell ref="AC12:AC13"/>
    <mergeCell ref="AD12:AD13"/>
    <mergeCell ref="AE12:AE13"/>
    <mergeCell ref="AF12:AF13"/>
    <mergeCell ref="E15:E16"/>
    <mergeCell ref="F15:F16"/>
    <mergeCell ref="G15:G16"/>
    <mergeCell ref="H15:H16"/>
    <mergeCell ref="I15:I16"/>
    <mergeCell ref="J15:J16"/>
    <mergeCell ref="W12:W13"/>
    <mergeCell ref="X12:X13"/>
    <mergeCell ref="Y12:Y13"/>
    <mergeCell ref="Z12:Z13"/>
    <mergeCell ref="AA12:AA13"/>
    <mergeCell ref="AB12:AB13"/>
    <mergeCell ref="Q12:Q13"/>
    <mergeCell ref="R12:R13"/>
    <mergeCell ref="S12:S13"/>
    <mergeCell ref="T12:T13"/>
    <mergeCell ref="U12:U13"/>
    <mergeCell ref="V12:V13"/>
    <mergeCell ref="E12:E13"/>
    <mergeCell ref="L12:L13"/>
    <mergeCell ref="M12:M13"/>
    <mergeCell ref="N12:N13"/>
    <mergeCell ref="O12:O13"/>
    <mergeCell ref="P12:P13"/>
    <mergeCell ref="AD3:AD4"/>
    <mergeCell ref="AE3:AE4"/>
    <mergeCell ref="AF3:AF4"/>
    <mergeCell ref="C6:C7"/>
    <mergeCell ref="D6:D7"/>
    <mergeCell ref="C9:C10"/>
    <mergeCell ref="D9:D10"/>
    <mergeCell ref="W3:W4"/>
    <mergeCell ref="X3:X4"/>
    <mergeCell ref="Y3:Y4"/>
    <mergeCell ref="Z3:Z4"/>
    <mergeCell ref="AA3:AA4"/>
    <mergeCell ref="AB3:AB4"/>
    <mergeCell ref="Q3:Q4"/>
    <mergeCell ref="R3:R4"/>
    <mergeCell ref="S3:S4"/>
    <mergeCell ref="T3:T4"/>
    <mergeCell ref="U3:U4"/>
    <mergeCell ref="V3:V4"/>
    <mergeCell ref="E3:E4"/>
    <mergeCell ref="L3:L4"/>
    <mergeCell ref="M3:M4"/>
    <mergeCell ref="N3:N4"/>
    <mergeCell ref="O3:O4"/>
    <mergeCell ref="P3:P4"/>
    <mergeCell ref="A3:A4"/>
    <mergeCell ref="A6:A7"/>
    <mergeCell ref="A9:A10"/>
    <mergeCell ref="A12:A13"/>
    <mergeCell ref="A15:A16"/>
    <mergeCell ref="A18:A19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28"/>
  <sheetViews>
    <sheetView zoomScale="55" zoomScaleNormal="55" workbookViewId="0">
      <pane xSplit="1" topLeftCell="T1" activePane="topRight" state="frozen"/>
      <selection pane="topRight" activeCell="Z28" sqref="Z28"/>
    </sheetView>
  </sheetViews>
  <sheetFormatPr defaultRowHeight="16.5"/>
  <cols>
    <col min="1" max="1" width="9.5" style="74" bestFit="1" customWidth="1"/>
    <col min="2" max="2" width="5.25" customWidth="1"/>
    <col min="3" max="3" width="15.125" bestFit="1" customWidth="1"/>
    <col min="4" max="4" width="14.875" style="74" customWidth="1"/>
    <col min="5" max="5" width="12.625" bestFit="1" customWidth="1"/>
    <col min="6" max="6" width="23.5" style="74" customWidth="1"/>
    <col min="7" max="7" width="5.25" style="74" bestFit="1" customWidth="1"/>
    <col min="8" max="8" width="34.5" bestFit="1" customWidth="1"/>
    <col min="9" max="9" width="34.5" style="74" customWidth="1"/>
    <col min="10" max="10" width="22" bestFit="1" customWidth="1"/>
    <col min="11" max="11" width="15" customWidth="1"/>
    <col min="12" max="13" width="15" style="74" customWidth="1"/>
    <col min="14" max="14" width="20.125" style="74" bestFit="1" customWidth="1"/>
    <col min="15" max="15" width="22" style="74" customWidth="1"/>
    <col min="16" max="16" width="15" bestFit="1" customWidth="1"/>
    <col min="17" max="17" width="15.875" bestFit="1" customWidth="1"/>
    <col min="18" max="19" width="26.25" bestFit="1" customWidth="1"/>
    <col min="20" max="20" width="24.125" bestFit="1" customWidth="1"/>
    <col min="21" max="21" width="15.875" bestFit="1" customWidth="1"/>
    <col min="22" max="22" width="13.75" bestFit="1" customWidth="1"/>
    <col min="23" max="23" width="11" bestFit="1" customWidth="1"/>
    <col min="24" max="24" width="5.25" customWidth="1"/>
    <col min="25" max="25" width="19.25" bestFit="1" customWidth="1"/>
    <col min="26" max="26" width="19.25" style="74" customWidth="1"/>
    <col min="27" max="27" width="9" bestFit="1" customWidth="1"/>
    <col min="28" max="28" width="9" style="74" bestFit="1" customWidth="1"/>
    <col min="29" max="29" width="17.875" bestFit="1" customWidth="1"/>
    <col min="30" max="30" width="9" style="74" bestFit="1" customWidth="1"/>
    <col min="31" max="31" width="15.125" style="74" bestFit="1" customWidth="1"/>
    <col min="32" max="34" width="15.125" style="74" customWidth="1"/>
    <col min="35" max="35" width="31.75" bestFit="1" customWidth="1"/>
    <col min="36" max="36" width="21.375" bestFit="1" customWidth="1"/>
    <col min="37" max="37" width="17.875" bestFit="1" customWidth="1"/>
    <col min="38" max="38" width="15.125" bestFit="1" customWidth="1"/>
    <col min="39" max="39" width="11" bestFit="1" customWidth="1"/>
    <col min="42" max="43" width="15.125" bestFit="1" customWidth="1"/>
    <col min="44" max="44" width="27.625" bestFit="1" customWidth="1"/>
  </cols>
  <sheetData>
    <row r="1" spans="1:44" ht="17.25" thickBot="1">
      <c r="A1" s="195" t="s">
        <v>401</v>
      </c>
      <c r="C1" s="296" t="s">
        <v>446</v>
      </c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8"/>
      <c r="Y1" s="290" t="s">
        <v>447</v>
      </c>
      <c r="Z1" s="291"/>
      <c r="AA1" s="291"/>
      <c r="AB1" s="291"/>
      <c r="AC1" s="291"/>
      <c r="AD1" s="291"/>
      <c r="AE1" s="291"/>
      <c r="AF1" s="291"/>
      <c r="AG1" s="291"/>
      <c r="AH1" s="291"/>
      <c r="AI1" s="291"/>
      <c r="AJ1" s="291"/>
      <c r="AK1" s="291"/>
      <c r="AL1" s="291"/>
      <c r="AM1" s="291"/>
      <c r="AN1" s="291"/>
      <c r="AO1" s="291"/>
      <c r="AP1" s="291"/>
      <c r="AQ1" s="291"/>
      <c r="AR1" s="292"/>
    </row>
    <row r="2" spans="1:44" ht="17.25" thickBot="1"/>
    <row r="3" spans="1:44" ht="16.5" customHeight="1">
      <c r="A3" s="191" t="s">
        <v>361</v>
      </c>
      <c r="C3" s="206" t="s">
        <v>290</v>
      </c>
      <c r="F3" s="206" t="s">
        <v>407</v>
      </c>
      <c r="H3" s="206" t="s">
        <v>537</v>
      </c>
      <c r="I3" s="206" t="s">
        <v>580</v>
      </c>
      <c r="J3" s="206" t="s">
        <v>438</v>
      </c>
      <c r="K3" s="206" t="s">
        <v>103</v>
      </c>
      <c r="N3" s="206" t="s">
        <v>544</v>
      </c>
      <c r="O3" s="206" t="s">
        <v>538</v>
      </c>
      <c r="P3" s="206" t="s">
        <v>539</v>
      </c>
      <c r="Q3" s="206" t="s">
        <v>296</v>
      </c>
      <c r="R3" s="206" t="s">
        <v>540</v>
      </c>
      <c r="S3" s="206" t="s">
        <v>541</v>
      </c>
      <c r="T3" s="206" t="s">
        <v>542</v>
      </c>
      <c r="Z3" s="202" t="s">
        <v>412</v>
      </c>
      <c r="AB3" s="202" t="s">
        <v>317</v>
      </c>
      <c r="AC3" s="202" t="s">
        <v>320</v>
      </c>
      <c r="AD3" s="202" t="s">
        <v>328</v>
      </c>
      <c r="AI3" s="202" t="s">
        <v>546</v>
      </c>
      <c r="AJ3" s="202" t="s">
        <v>315</v>
      </c>
      <c r="AK3" s="202" t="s">
        <v>545</v>
      </c>
      <c r="AL3" s="202" t="s">
        <v>312</v>
      </c>
      <c r="AM3" s="202" t="s">
        <v>323</v>
      </c>
    </row>
    <row r="4" spans="1:44" ht="17.25" thickBot="1">
      <c r="A4" s="192"/>
      <c r="C4" s="208"/>
      <c r="F4" s="208"/>
      <c r="H4" s="208"/>
      <c r="I4" s="208"/>
      <c r="J4" s="208"/>
      <c r="K4" s="208"/>
      <c r="N4" s="208"/>
      <c r="O4" s="208"/>
      <c r="P4" s="208"/>
      <c r="Q4" s="208"/>
      <c r="R4" s="208"/>
      <c r="S4" s="208"/>
      <c r="T4" s="208"/>
      <c r="Z4" s="204"/>
      <c r="AB4" s="204"/>
      <c r="AC4" s="204"/>
      <c r="AD4" s="204"/>
      <c r="AI4" s="204"/>
      <c r="AJ4" s="204"/>
      <c r="AK4" s="204"/>
      <c r="AL4" s="204"/>
      <c r="AM4" s="204"/>
    </row>
    <row r="5" spans="1:44" ht="17.25" thickBot="1">
      <c r="A5" s="117"/>
    </row>
    <row r="6" spans="1:44" ht="16.5" customHeight="1">
      <c r="A6" s="183" t="s">
        <v>380</v>
      </c>
      <c r="D6" s="206" t="s">
        <v>89</v>
      </c>
      <c r="E6" s="206" t="s">
        <v>551</v>
      </c>
      <c r="I6" s="206" t="s">
        <v>99</v>
      </c>
      <c r="J6" s="206" t="s">
        <v>438</v>
      </c>
      <c r="K6" s="206" t="s">
        <v>103</v>
      </c>
      <c r="L6" s="225" t="s">
        <v>579</v>
      </c>
      <c r="M6" s="206" t="s">
        <v>552</v>
      </c>
      <c r="Y6" s="202" t="s">
        <v>114</v>
      </c>
      <c r="AA6" s="202" t="s">
        <v>115</v>
      </c>
      <c r="AD6" s="202" t="s">
        <v>328</v>
      </c>
      <c r="AG6" s="202" t="s">
        <v>554</v>
      </c>
      <c r="AH6" s="202" t="s">
        <v>553</v>
      </c>
    </row>
    <row r="7" spans="1:44" ht="17.25" thickBot="1">
      <c r="A7" s="184"/>
      <c r="D7" s="208"/>
      <c r="E7" s="208"/>
      <c r="I7" s="208"/>
      <c r="J7" s="208"/>
      <c r="K7" s="208"/>
      <c r="L7" s="208"/>
      <c r="M7" s="208"/>
      <c r="Y7" s="204"/>
      <c r="AA7" s="204"/>
      <c r="AD7" s="204"/>
      <c r="AG7" s="204"/>
      <c r="AH7" s="204"/>
    </row>
    <row r="8" spans="1:44" ht="17.25" thickBot="1">
      <c r="A8" s="117"/>
      <c r="I8"/>
      <c r="AD8"/>
    </row>
    <row r="9" spans="1:44">
      <c r="A9" s="183" t="s">
        <v>386</v>
      </c>
      <c r="D9" s="206" t="s">
        <v>89</v>
      </c>
      <c r="E9" s="225" t="s">
        <v>572</v>
      </c>
      <c r="I9" s="206" t="s">
        <v>99</v>
      </c>
      <c r="J9" s="206" t="s">
        <v>438</v>
      </c>
      <c r="K9" s="206" t="s">
        <v>103</v>
      </c>
      <c r="P9" s="74"/>
      <c r="Q9" s="74"/>
      <c r="R9" s="74"/>
      <c r="S9" s="74"/>
      <c r="T9" s="74"/>
      <c r="U9" s="74"/>
      <c r="V9" s="74"/>
      <c r="W9" s="74"/>
      <c r="X9" s="74"/>
      <c r="Y9" s="202" t="s">
        <v>114</v>
      </c>
      <c r="AA9" s="202" t="s">
        <v>115</v>
      </c>
      <c r="AD9" s="202" t="s">
        <v>328</v>
      </c>
      <c r="AF9" s="202" t="s">
        <v>560</v>
      </c>
    </row>
    <row r="10" spans="1:44" ht="17.25" thickBot="1">
      <c r="A10" s="184"/>
      <c r="D10" s="208"/>
      <c r="E10" s="208"/>
      <c r="I10" s="208"/>
      <c r="J10" s="208"/>
      <c r="K10" s="208"/>
      <c r="P10" s="74"/>
      <c r="Q10" s="74"/>
      <c r="R10" s="74"/>
      <c r="S10" s="74"/>
      <c r="T10" s="74"/>
      <c r="U10" s="74"/>
      <c r="V10" s="74"/>
      <c r="W10" s="74"/>
      <c r="X10" s="74"/>
      <c r="Y10" s="204"/>
      <c r="AA10" s="204"/>
      <c r="AD10" s="204"/>
      <c r="AF10" s="204"/>
    </row>
    <row r="11" spans="1:44" ht="17.25" thickBot="1">
      <c r="A11" s="117"/>
    </row>
    <row r="12" spans="1:44" ht="16.5" customHeight="1">
      <c r="A12" s="183" t="s">
        <v>387</v>
      </c>
      <c r="C12" s="206" t="s">
        <v>290</v>
      </c>
      <c r="F12" s="206" t="s">
        <v>291</v>
      </c>
      <c r="H12" s="206" t="s">
        <v>565</v>
      </c>
      <c r="J12" s="206" t="s">
        <v>581</v>
      </c>
      <c r="K12" s="206" t="s">
        <v>583</v>
      </c>
      <c r="N12" s="244" t="s">
        <v>582</v>
      </c>
      <c r="O12" s="206" t="s">
        <v>538</v>
      </c>
      <c r="P12" s="206" t="s">
        <v>539</v>
      </c>
      <c r="Q12" s="206" t="s">
        <v>296</v>
      </c>
      <c r="R12" s="206" t="s">
        <v>540</v>
      </c>
      <c r="S12" s="206" t="s">
        <v>541</v>
      </c>
      <c r="T12" s="206" t="s">
        <v>542</v>
      </c>
      <c r="U12" s="206" t="s">
        <v>566</v>
      </c>
      <c r="V12" s="206" t="s">
        <v>543</v>
      </c>
      <c r="W12" s="206" t="s">
        <v>432</v>
      </c>
      <c r="Z12" s="202" t="s">
        <v>311</v>
      </c>
      <c r="AB12" s="202" t="s">
        <v>317</v>
      </c>
      <c r="AC12" s="202" t="s">
        <v>320</v>
      </c>
      <c r="AD12" s="202" t="s">
        <v>328</v>
      </c>
      <c r="AE12" s="202" t="s">
        <v>570</v>
      </c>
      <c r="AI12" s="202" t="s">
        <v>546</v>
      </c>
      <c r="AJ12" s="202" t="s">
        <v>315</v>
      </c>
      <c r="AK12" s="202" t="s">
        <v>545</v>
      </c>
      <c r="AL12" s="202" t="s">
        <v>312</v>
      </c>
      <c r="AM12" s="202" t="s">
        <v>323</v>
      </c>
      <c r="AN12" s="202" t="s">
        <v>321</v>
      </c>
      <c r="AO12" s="202" t="s">
        <v>322</v>
      </c>
      <c r="AP12" s="202" t="s">
        <v>569</v>
      </c>
      <c r="AQ12" s="202" t="s">
        <v>325</v>
      </c>
      <c r="AR12" s="202" t="s">
        <v>319</v>
      </c>
    </row>
    <row r="13" spans="1:44" ht="17.25" thickBot="1">
      <c r="A13" s="184"/>
      <c r="C13" s="208"/>
      <c r="F13" s="208"/>
      <c r="H13" s="208"/>
      <c r="J13" s="208"/>
      <c r="K13" s="208"/>
      <c r="N13" s="245"/>
      <c r="O13" s="208"/>
      <c r="P13" s="208"/>
      <c r="Q13" s="208"/>
      <c r="R13" s="208"/>
      <c r="S13" s="208"/>
      <c r="T13" s="208"/>
      <c r="U13" s="208"/>
      <c r="V13" s="208"/>
      <c r="W13" s="208"/>
      <c r="Z13" s="204"/>
      <c r="AB13" s="204"/>
      <c r="AC13" s="204"/>
      <c r="AD13" s="204"/>
      <c r="AE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</row>
    <row r="14" spans="1:44" ht="17.25" thickBot="1">
      <c r="A14" s="117"/>
    </row>
    <row r="15" spans="1:44">
      <c r="A15" s="183" t="s">
        <v>388</v>
      </c>
      <c r="D15" s="206" t="s">
        <v>89</v>
      </c>
      <c r="E15" s="206" t="s">
        <v>559</v>
      </c>
      <c r="G15" s="206" t="s">
        <v>574</v>
      </c>
      <c r="I15" s="206" t="s">
        <v>99</v>
      </c>
      <c r="J15" s="206" t="s">
        <v>438</v>
      </c>
      <c r="K15" s="206" t="s">
        <v>103</v>
      </c>
      <c r="Y15" s="202" t="s">
        <v>114</v>
      </c>
      <c r="AA15" s="202" t="s">
        <v>115</v>
      </c>
      <c r="AD15" s="202" t="s">
        <v>328</v>
      </c>
      <c r="AE15" s="202" t="s">
        <v>570</v>
      </c>
    </row>
    <row r="16" spans="1:44" ht="17.25" thickBot="1">
      <c r="A16" s="184"/>
      <c r="D16" s="208"/>
      <c r="E16" s="208"/>
      <c r="G16" s="208"/>
      <c r="I16" s="208"/>
      <c r="J16" s="208"/>
      <c r="K16" s="208"/>
      <c r="Y16" s="204"/>
      <c r="AA16" s="204"/>
      <c r="AD16" s="204"/>
      <c r="AE16" s="204"/>
    </row>
    <row r="17" spans="1:25">
      <c r="A17" s="117"/>
    </row>
    <row r="24" spans="1:25">
      <c r="Y24" s="74"/>
    </row>
    <row r="25" spans="1:25">
      <c r="Y25" s="74"/>
    </row>
    <row r="26" spans="1:25">
      <c r="Y26" s="74"/>
    </row>
    <row r="27" spans="1:25">
      <c r="Y27" s="74"/>
    </row>
    <row r="28" spans="1:25">
      <c r="Y28" s="74"/>
    </row>
  </sheetData>
  <mergeCells count="90">
    <mergeCell ref="AM12:AM13"/>
    <mergeCell ref="AP12:AP13"/>
    <mergeCell ref="AE12:AE13"/>
    <mergeCell ref="AQ12:AQ13"/>
    <mergeCell ref="AD12:AD13"/>
    <mergeCell ref="Y15:Y16"/>
    <mergeCell ref="AA15:AA16"/>
    <mergeCell ref="AE15:AE16"/>
    <mergeCell ref="AD15:AD16"/>
    <mergeCell ref="AJ12:AJ13"/>
    <mergeCell ref="AB12:AB13"/>
    <mergeCell ref="AL12:AL13"/>
    <mergeCell ref="AR12:AR13"/>
    <mergeCell ref="AN12:AN13"/>
    <mergeCell ref="AO12:AO13"/>
    <mergeCell ref="Y9:Y10"/>
    <mergeCell ref="AA9:AA10"/>
    <mergeCell ref="AF9:AF10"/>
    <mergeCell ref="AD9:AD10"/>
    <mergeCell ref="Z12:Z13"/>
    <mergeCell ref="AC12:AC13"/>
    <mergeCell ref="AK12:AK13"/>
    <mergeCell ref="AI12:AI13"/>
    <mergeCell ref="AJ3:AJ4"/>
    <mergeCell ref="AL3:AL4"/>
    <mergeCell ref="AM3:AM4"/>
    <mergeCell ref="AD3:AD4"/>
    <mergeCell ref="Y6:Y7"/>
    <mergeCell ref="AA6:AA7"/>
    <mergeCell ref="AD6:AD7"/>
    <mergeCell ref="AH6:AH7"/>
    <mergeCell ref="AG6:AG7"/>
    <mergeCell ref="C1:W1"/>
    <mergeCell ref="Z3:Z4"/>
    <mergeCell ref="AB3:AB4"/>
    <mergeCell ref="AC3:AC4"/>
    <mergeCell ref="AK3:AK4"/>
    <mergeCell ref="AI3:AI4"/>
    <mergeCell ref="Y1:AR1"/>
    <mergeCell ref="N12:N13"/>
    <mergeCell ref="K12:K13"/>
    <mergeCell ref="L6:L7"/>
    <mergeCell ref="M6:M7"/>
    <mergeCell ref="S3:S4"/>
    <mergeCell ref="T3:T4"/>
    <mergeCell ref="I3:I4"/>
    <mergeCell ref="J3:J4"/>
    <mergeCell ref="N3:N4"/>
    <mergeCell ref="K3:K4"/>
    <mergeCell ref="R12:R13"/>
    <mergeCell ref="S12:S13"/>
    <mergeCell ref="T12:T13"/>
    <mergeCell ref="U12:U13"/>
    <mergeCell ref="V12:V13"/>
    <mergeCell ref="J12:J13"/>
    <mergeCell ref="D15:D16"/>
    <mergeCell ref="G15:G16"/>
    <mergeCell ref="E15:E16"/>
    <mergeCell ref="I15:I16"/>
    <mergeCell ref="J15:J16"/>
    <mergeCell ref="K15:K16"/>
    <mergeCell ref="C12:C13"/>
    <mergeCell ref="F12:F13"/>
    <mergeCell ref="H12:H13"/>
    <mergeCell ref="Q12:Q13"/>
    <mergeCell ref="O12:O13"/>
    <mergeCell ref="P12:P13"/>
    <mergeCell ref="W12:W13"/>
    <mergeCell ref="D9:D10"/>
    <mergeCell ref="E9:E10"/>
    <mergeCell ref="I9:I10"/>
    <mergeCell ref="J9:J10"/>
    <mergeCell ref="K9:K10"/>
    <mergeCell ref="R3:R4"/>
    <mergeCell ref="D6:D7"/>
    <mergeCell ref="E6:E7"/>
    <mergeCell ref="I6:I7"/>
    <mergeCell ref="J6:J7"/>
    <mergeCell ref="K6:K7"/>
    <mergeCell ref="C3:C4"/>
    <mergeCell ref="F3:F4"/>
    <mergeCell ref="H3:H4"/>
    <mergeCell ref="O3:O4"/>
    <mergeCell ref="Q3:Q4"/>
    <mergeCell ref="P3:P4"/>
    <mergeCell ref="A3:A4"/>
    <mergeCell ref="A6:A7"/>
    <mergeCell ref="A9:A10"/>
    <mergeCell ref="A12:A13"/>
    <mergeCell ref="A15:A16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Y99"/>
  <sheetViews>
    <sheetView workbookViewId="0">
      <pane ySplit="55" topLeftCell="A56" activePane="bottomLeft" state="frozen"/>
      <selection pane="bottomLeft" sqref="A1:XFD1048576"/>
    </sheetView>
  </sheetViews>
  <sheetFormatPr defaultRowHeight="14.25"/>
  <cols>
    <col min="1" max="171" width="5.625" style="83" customWidth="1"/>
    <col min="172" max="172" width="8" style="83" customWidth="1"/>
    <col min="173" max="177" width="5.625" style="83" customWidth="1"/>
    <col min="178" max="178" width="5.75" style="83" customWidth="1"/>
    <col min="179" max="181" width="5.625" style="83" customWidth="1"/>
    <col min="182" max="16384" width="9" style="83"/>
  </cols>
  <sheetData>
    <row r="1" spans="1:181" s="82" customFormat="1" hidden="1">
      <c r="A1" s="82" t="s">
        <v>235</v>
      </c>
      <c r="B1" s="83" t="s">
        <v>2</v>
      </c>
      <c r="C1" s="83" t="s">
        <v>8</v>
      </c>
      <c r="D1" s="83" t="s">
        <v>9</v>
      </c>
      <c r="E1" s="83" t="s">
        <v>11</v>
      </c>
      <c r="F1" s="83" t="s">
        <v>13</v>
      </c>
      <c r="G1" s="83" t="s">
        <v>15</v>
      </c>
      <c r="H1" s="83" t="s">
        <v>17</v>
      </c>
      <c r="I1" s="83" t="s">
        <v>19</v>
      </c>
      <c r="J1" s="83" t="s">
        <v>20</v>
      </c>
      <c r="K1" s="83" t="s">
        <v>21</v>
      </c>
      <c r="L1" s="83" t="s">
        <v>22</v>
      </c>
      <c r="M1" s="83" t="s">
        <v>23</v>
      </c>
      <c r="N1" s="83" t="s">
        <v>24</v>
      </c>
      <c r="O1" s="83" t="s">
        <v>25</v>
      </c>
      <c r="P1" s="83" t="s">
        <v>26</v>
      </c>
      <c r="Q1" s="83" t="s">
        <v>27</v>
      </c>
      <c r="R1" s="83" t="s">
        <v>28</v>
      </c>
      <c r="S1" s="83" t="s">
        <v>29</v>
      </c>
      <c r="T1" s="83" t="s">
        <v>30</v>
      </c>
      <c r="U1" s="83" t="s">
        <v>31</v>
      </c>
      <c r="V1" s="83" t="s">
        <v>32</v>
      </c>
      <c r="W1" s="83" t="s">
        <v>33</v>
      </c>
      <c r="X1" s="83" t="s">
        <v>36</v>
      </c>
      <c r="Y1" s="83" t="s">
        <v>39</v>
      </c>
      <c r="Z1" s="83" t="s">
        <v>42</v>
      </c>
      <c r="AA1" s="83" t="s">
        <v>45</v>
      </c>
      <c r="AB1" s="83" t="s">
        <v>48</v>
      </c>
      <c r="AC1" s="83" t="s">
        <v>51</v>
      </c>
      <c r="AD1" s="83" t="s">
        <v>54</v>
      </c>
      <c r="AE1" s="83" t="s">
        <v>56</v>
      </c>
      <c r="AF1" s="83" t="s">
        <v>59</v>
      </c>
      <c r="AG1" s="83" t="s">
        <v>62</v>
      </c>
      <c r="AH1" s="83" t="s">
        <v>64</v>
      </c>
      <c r="AI1" s="83" t="s">
        <v>66</v>
      </c>
      <c r="AJ1" s="83" t="s">
        <v>68</v>
      </c>
      <c r="AK1" s="83" t="s">
        <v>70</v>
      </c>
      <c r="AL1" s="83" t="s">
        <v>72</v>
      </c>
      <c r="AM1" s="83" t="s">
        <v>73</v>
      </c>
      <c r="AN1" s="83" t="s">
        <v>74</v>
      </c>
      <c r="AO1" s="83" t="s">
        <v>75</v>
      </c>
      <c r="AP1" s="83" t="s">
        <v>76</v>
      </c>
      <c r="AQ1" s="83" t="s">
        <v>77</v>
      </c>
      <c r="AR1" s="83" t="s">
        <v>78</v>
      </c>
      <c r="AS1" s="83" t="s">
        <v>79</v>
      </c>
      <c r="AT1" s="83" t="s">
        <v>80</v>
      </c>
      <c r="AU1" s="83" t="s">
        <v>81</v>
      </c>
      <c r="AV1" s="83" t="s">
        <v>82</v>
      </c>
      <c r="AW1" s="83" t="s">
        <v>83</v>
      </c>
      <c r="AX1" s="83" t="s">
        <v>84</v>
      </c>
      <c r="AY1" s="83" t="s">
        <v>85</v>
      </c>
      <c r="AZ1" s="83" t="s">
        <v>87</v>
      </c>
      <c r="BA1" s="83" t="s">
        <v>88</v>
      </c>
      <c r="BB1" s="83" t="s">
        <v>89</v>
      </c>
      <c r="BC1" s="83" t="s">
        <v>90</v>
      </c>
      <c r="BD1" s="83" t="s">
        <v>91</v>
      </c>
      <c r="BE1" s="83" t="s">
        <v>92</v>
      </c>
      <c r="BF1" s="83" t="s">
        <v>93</v>
      </c>
      <c r="BG1" s="83" t="s">
        <v>94</v>
      </c>
      <c r="BH1" s="83" t="s">
        <v>95</v>
      </c>
      <c r="BI1" s="83" t="s">
        <v>96</v>
      </c>
      <c r="BJ1" s="83" t="s">
        <v>97</v>
      </c>
      <c r="BK1" s="83" t="s">
        <v>98</v>
      </c>
      <c r="BL1" s="83" t="s">
        <v>99</v>
      </c>
      <c r="BM1" s="83" t="s">
        <v>100</v>
      </c>
      <c r="BN1" s="83" t="s">
        <v>101</v>
      </c>
      <c r="BO1" s="83" t="s">
        <v>102</v>
      </c>
      <c r="BP1" s="83" t="s">
        <v>103</v>
      </c>
      <c r="BQ1" s="83" t="s">
        <v>104</v>
      </c>
      <c r="BR1" s="83" t="s">
        <v>105</v>
      </c>
      <c r="BS1" s="83" t="s">
        <v>106</v>
      </c>
      <c r="BT1" s="83" t="s">
        <v>107</v>
      </c>
      <c r="BU1" s="83" t="s">
        <v>108</v>
      </c>
      <c r="BV1" s="83" t="s">
        <v>109</v>
      </c>
      <c r="BW1" s="83" t="s">
        <v>110</v>
      </c>
      <c r="BX1" s="83" t="s">
        <v>111</v>
      </c>
      <c r="BY1" s="83" t="s">
        <v>112</v>
      </c>
      <c r="BZ1" s="83" t="s">
        <v>113</v>
      </c>
      <c r="CA1" s="83" t="s">
        <v>114</v>
      </c>
      <c r="CB1" s="83" t="s">
        <v>115</v>
      </c>
      <c r="CC1" s="83" t="s">
        <v>116</v>
      </c>
      <c r="CD1" s="83" t="s">
        <v>117</v>
      </c>
      <c r="CE1" s="83" t="s">
        <v>118</v>
      </c>
      <c r="CF1" s="83" t="s">
        <v>119</v>
      </c>
      <c r="CG1" s="83" t="s">
        <v>120</v>
      </c>
      <c r="CH1" s="83" t="s">
        <v>121</v>
      </c>
      <c r="CI1" s="83" t="s">
        <v>122</v>
      </c>
      <c r="CJ1" s="83" t="s">
        <v>123</v>
      </c>
      <c r="CK1" s="83" t="s">
        <v>124</v>
      </c>
      <c r="CL1" s="83" t="s">
        <v>125</v>
      </c>
      <c r="CM1" s="83" t="s">
        <v>126</v>
      </c>
      <c r="CN1" s="83" t="s">
        <v>127</v>
      </c>
      <c r="CO1" s="83" t="s">
        <v>128</v>
      </c>
      <c r="CP1" s="83" t="s">
        <v>129</v>
      </c>
      <c r="CQ1" s="83" t="s">
        <v>130</v>
      </c>
      <c r="CR1" s="83" t="s">
        <v>131</v>
      </c>
      <c r="CS1" s="83" t="s">
        <v>132</v>
      </c>
      <c r="CT1" s="83" t="s">
        <v>133</v>
      </c>
      <c r="CU1" s="83" t="s">
        <v>134</v>
      </c>
      <c r="CV1" s="83" t="s">
        <v>135</v>
      </c>
      <c r="CW1" s="83" t="s">
        <v>136</v>
      </c>
      <c r="CX1" s="83" t="s">
        <v>19</v>
      </c>
      <c r="CY1" s="83" t="s">
        <v>137</v>
      </c>
      <c r="CZ1" s="83" t="s">
        <v>138</v>
      </c>
      <c r="DA1" s="83" t="s">
        <v>139</v>
      </c>
      <c r="DB1" s="83" t="s">
        <v>8</v>
      </c>
      <c r="DC1" s="83" t="s">
        <v>140</v>
      </c>
      <c r="DD1" s="83" t="s">
        <v>9</v>
      </c>
      <c r="DE1" s="83" t="s">
        <v>141</v>
      </c>
      <c r="DF1" s="83" t="s">
        <v>142</v>
      </c>
      <c r="DG1" s="83" t="s">
        <v>143</v>
      </c>
      <c r="DH1" s="83" t="s">
        <v>144</v>
      </c>
      <c r="DI1" s="83" t="s">
        <v>145</v>
      </c>
      <c r="DJ1" s="83" t="s">
        <v>146</v>
      </c>
      <c r="DK1" s="83" t="s">
        <v>147</v>
      </c>
      <c r="DL1" s="83" t="s">
        <v>148</v>
      </c>
      <c r="DM1" s="83" t="s">
        <v>149</v>
      </c>
      <c r="DN1" s="83" t="s">
        <v>150</v>
      </c>
      <c r="DO1" s="83" t="s">
        <v>151</v>
      </c>
      <c r="DP1" s="83" t="s">
        <v>152</v>
      </c>
      <c r="DQ1" s="83" t="s">
        <v>153</v>
      </c>
      <c r="DR1" s="83" t="s">
        <v>154</v>
      </c>
      <c r="DS1" s="83" t="s">
        <v>155</v>
      </c>
      <c r="DT1" s="83" t="s">
        <v>156</v>
      </c>
      <c r="DU1" s="83" t="s">
        <v>157</v>
      </c>
      <c r="DV1" s="83" t="s">
        <v>158</v>
      </c>
      <c r="DW1" s="83" t="s">
        <v>159</v>
      </c>
      <c r="DX1" s="83" t="s">
        <v>160</v>
      </c>
      <c r="DY1" s="83" t="s">
        <v>161</v>
      </c>
      <c r="DZ1" s="83" t="s">
        <v>162</v>
      </c>
      <c r="EA1" s="83" t="s">
        <v>163</v>
      </c>
      <c r="EB1" s="83" t="s">
        <v>164</v>
      </c>
      <c r="EC1" s="83" t="s">
        <v>165</v>
      </c>
      <c r="ED1" s="83" t="s">
        <v>166</v>
      </c>
      <c r="EE1" s="83" t="s">
        <v>247</v>
      </c>
      <c r="EF1" s="83" t="s">
        <v>167</v>
      </c>
      <c r="EG1" s="83" t="s">
        <v>168</v>
      </c>
      <c r="EH1" s="83" t="s">
        <v>169</v>
      </c>
      <c r="EI1" s="83" t="s">
        <v>170</v>
      </c>
      <c r="EJ1" s="83" t="s">
        <v>172</v>
      </c>
      <c r="EK1" s="83" t="s">
        <v>174</v>
      </c>
      <c r="EL1" s="83" t="s">
        <v>176</v>
      </c>
      <c r="EM1" s="83" t="s">
        <v>177</v>
      </c>
      <c r="EN1" s="83" t="s">
        <v>178</v>
      </c>
      <c r="EO1" s="83" t="s">
        <v>16</v>
      </c>
      <c r="EP1" s="83" t="s">
        <v>14</v>
      </c>
      <c r="EQ1" s="83" t="s">
        <v>18</v>
      </c>
      <c r="ER1" s="83" t="s">
        <v>180</v>
      </c>
      <c r="ES1" s="83" t="s">
        <v>182</v>
      </c>
      <c r="ET1" s="83" t="s">
        <v>184</v>
      </c>
      <c r="EU1" s="83" t="s">
        <v>186</v>
      </c>
      <c r="EV1" s="83" t="s">
        <v>12</v>
      </c>
      <c r="EW1" s="83" t="s">
        <v>187</v>
      </c>
      <c r="EX1" s="83" t="s">
        <v>188</v>
      </c>
      <c r="EY1" s="83" t="s">
        <v>189</v>
      </c>
      <c r="EZ1" s="83" t="s">
        <v>190</v>
      </c>
      <c r="FA1" s="83" t="s">
        <v>191</v>
      </c>
      <c r="FB1" s="83" t="s">
        <v>192</v>
      </c>
      <c r="FC1" s="83" t="s">
        <v>193</v>
      </c>
      <c r="FD1" s="83" t="s">
        <v>194</v>
      </c>
      <c r="FE1" s="83" t="s">
        <v>195</v>
      </c>
      <c r="FF1" s="83" t="s">
        <v>196</v>
      </c>
      <c r="FG1" s="83" t="s">
        <v>197</v>
      </c>
      <c r="FH1" s="83" t="s">
        <v>198</v>
      </c>
      <c r="FI1" s="83" t="s">
        <v>199</v>
      </c>
      <c r="FJ1" s="83" t="s">
        <v>200</v>
      </c>
      <c r="FK1" s="83" t="s">
        <v>201</v>
      </c>
      <c r="FL1" s="83" t="s">
        <v>202</v>
      </c>
      <c r="FM1" s="83" t="s">
        <v>203</v>
      </c>
      <c r="FN1" s="83" t="s">
        <v>204</v>
      </c>
      <c r="FO1" s="83" t="s">
        <v>205</v>
      </c>
      <c r="FP1" s="83" t="s">
        <v>206</v>
      </c>
      <c r="FQ1" s="83" t="s">
        <v>248</v>
      </c>
      <c r="FR1" s="83" t="s">
        <v>171</v>
      </c>
      <c r="FS1" s="83" t="s">
        <v>173</v>
      </c>
      <c r="FT1" s="83" t="s">
        <v>175</v>
      </c>
      <c r="FU1" s="83" t="s">
        <v>10</v>
      </c>
      <c r="FV1" s="83" t="s">
        <v>179</v>
      </c>
      <c r="FW1" s="83" t="s">
        <v>181</v>
      </c>
      <c r="FX1" s="83" t="s">
        <v>183</v>
      </c>
      <c r="FY1" s="83" t="s">
        <v>185</v>
      </c>
    </row>
    <row r="2" spans="1:181" hidden="1"/>
    <row r="3" spans="1:181" hidden="1"/>
    <row r="4" spans="1:181" hidden="1"/>
    <row r="5" spans="1:181" hidden="1"/>
    <row r="6" spans="1:181" hidden="1"/>
    <row r="7" spans="1:181" hidden="1"/>
    <row r="8" spans="1:181" hidden="1"/>
    <row r="9" spans="1:181" hidden="1"/>
    <row r="10" spans="1:181" hidden="1"/>
    <row r="11" spans="1:181" hidden="1"/>
    <row r="12" spans="1:181" hidden="1"/>
    <row r="13" spans="1:181" hidden="1"/>
    <row r="14" spans="1:181" hidden="1"/>
    <row r="15" spans="1:181" hidden="1"/>
    <row r="16" spans="1:181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spans="1:181" hidden="1"/>
    <row r="50" spans="1:181" hidden="1"/>
    <row r="51" spans="1:181" hidden="1"/>
    <row r="52" spans="1:181" hidden="1"/>
    <row r="53" spans="1:181" hidden="1"/>
    <row r="54" spans="1:181" hidden="1"/>
    <row r="55" spans="1:181" hidden="1"/>
    <row r="56" spans="1:181" hidden="1">
      <c r="A56" s="83" t="s">
        <v>0</v>
      </c>
      <c r="B56" s="83">
        <v>2412</v>
      </c>
      <c r="C56" s="83" t="s">
        <v>208</v>
      </c>
      <c r="E56" s="83" t="s">
        <v>1</v>
      </c>
      <c r="F56" s="83" t="s">
        <v>256</v>
      </c>
    </row>
    <row r="57" spans="1:181" hidden="1">
      <c r="A57" s="83">
        <v>2412</v>
      </c>
      <c r="B57" s="83">
        <v>100</v>
      </c>
      <c r="C57" s="83">
        <v>12.84</v>
      </c>
      <c r="D57" s="83">
        <v>6.04</v>
      </c>
      <c r="E57" s="83">
        <v>5.4607999999999999</v>
      </c>
      <c r="F57" s="83">
        <v>0</v>
      </c>
      <c r="G57" s="83">
        <v>0.90410595999999999</v>
      </c>
      <c r="H57" s="83">
        <v>-5.8213951E-2</v>
      </c>
      <c r="I57" s="83">
        <v>47.53</v>
      </c>
      <c r="J57" s="83">
        <v>192462</v>
      </c>
      <c r="K57" s="83">
        <v>106887</v>
      </c>
      <c r="L57" s="83">
        <v>85575</v>
      </c>
      <c r="M57" s="83">
        <v>0</v>
      </c>
      <c r="N57" s="83">
        <v>34334</v>
      </c>
      <c r="O57" s="83">
        <v>51240</v>
      </c>
      <c r="P57" s="83">
        <v>655</v>
      </c>
      <c r="Q57" s="83">
        <v>2112</v>
      </c>
      <c r="R57" s="83">
        <v>0</v>
      </c>
      <c r="S57" s="83">
        <v>0</v>
      </c>
      <c r="T57" s="83">
        <v>1208</v>
      </c>
      <c r="U57" s="83">
        <v>0</v>
      </c>
      <c r="V57" s="83">
        <v>63</v>
      </c>
      <c r="W57" s="83">
        <v>312</v>
      </c>
      <c r="X57" s="83">
        <v>4351</v>
      </c>
      <c r="Y57" s="83">
        <v>0</v>
      </c>
      <c r="Z57" s="83">
        <v>0</v>
      </c>
      <c r="AA57" s="83">
        <v>56</v>
      </c>
      <c r="AB57" s="83">
        <v>130</v>
      </c>
      <c r="AC57" s="83">
        <v>0</v>
      </c>
      <c r="AD57" s="83">
        <v>0</v>
      </c>
      <c r="AE57" s="83">
        <v>0</v>
      </c>
      <c r="AF57" s="83">
        <v>26</v>
      </c>
      <c r="AG57" s="83">
        <v>212</v>
      </c>
      <c r="AH57" s="83">
        <v>4139</v>
      </c>
      <c r="AI57" s="83">
        <v>55379</v>
      </c>
      <c r="AJ57" s="83">
        <v>8310</v>
      </c>
      <c r="AK57" s="83">
        <v>47068</v>
      </c>
      <c r="AL57" s="83">
        <v>0</v>
      </c>
      <c r="AM57" s="83">
        <v>0</v>
      </c>
      <c r="AN57" s="83">
        <v>0</v>
      </c>
      <c r="AO57" s="83">
        <v>47068</v>
      </c>
      <c r="AP57" s="83">
        <v>6.04</v>
      </c>
      <c r="AQ57" s="83">
        <v>77893</v>
      </c>
      <c r="AR57" s="83">
        <v>0</v>
      </c>
      <c r="AS57" s="83">
        <v>61283</v>
      </c>
      <c r="AT57" s="83">
        <v>3182</v>
      </c>
      <c r="AU57" s="83">
        <v>21395</v>
      </c>
      <c r="AV57" s="83">
        <v>122</v>
      </c>
      <c r="AW57" s="83">
        <v>0</v>
      </c>
      <c r="AX57" s="83">
        <v>3757</v>
      </c>
      <c r="AY57" s="83" t="s">
        <v>86</v>
      </c>
      <c r="AZ57" s="83">
        <v>1668</v>
      </c>
      <c r="BA57" s="83">
        <v>2212</v>
      </c>
      <c r="BB57" s="83">
        <v>93620</v>
      </c>
      <c r="BC57" s="83">
        <v>29496</v>
      </c>
      <c r="BD57" s="83">
        <v>101387</v>
      </c>
      <c r="BE57" s="83">
        <v>65955</v>
      </c>
      <c r="BF57" s="83">
        <v>668166</v>
      </c>
      <c r="BG57" s="83">
        <v>10661</v>
      </c>
      <c r="BH57" s="83">
        <v>5763</v>
      </c>
      <c r="BI57" s="83">
        <v>-568062</v>
      </c>
      <c r="BJ57" s="83">
        <v>0</v>
      </c>
      <c r="BK57" s="83">
        <v>13459</v>
      </c>
      <c r="BL57" s="83">
        <v>297329</v>
      </c>
      <c r="BM57" s="83">
        <v>255</v>
      </c>
      <c r="BN57" s="83">
        <v>5963</v>
      </c>
      <c r="BO57" s="83">
        <v>6634</v>
      </c>
      <c r="BP57" s="83">
        <v>12852</v>
      </c>
      <c r="BQ57" s="83">
        <v>433298</v>
      </c>
      <c r="BR57" s="83">
        <v>0</v>
      </c>
      <c r="BS57" s="83">
        <v>0</v>
      </c>
      <c r="BT57" s="83">
        <v>13661</v>
      </c>
      <c r="BU57" s="83">
        <v>17165</v>
      </c>
      <c r="BV57" s="83">
        <v>10538</v>
      </c>
      <c r="BW57" s="83">
        <v>7192</v>
      </c>
      <c r="BX57" s="83">
        <v>3336</v>
      </c>
      <c r="BY57" s="83">
        <v>0</v>
      </c>
      <c r="BZ57" s="83">
        <v>2737</v>
      </c>
      <c r="CA57" s="83">
        <v>54630</v>
      </c>
      <c r="CB57" s="83">
        <v>0</v>
      </c>
      <c r="CC57" s="83">
        <v>3117</v>
      </c>
      <c r="CD57" s="83">
        <v>1437</v>
      </c>
      <c r="CE57" s="83">
        <v>0</v>
      </c>
      <c r="CF57" s="83">
        <v>95</v>
      </c>
      <c r="CG57" s="83">
        <v>0</v>
      </c>
      <c r="CH57" s="83">
        <v>5288</v>
      </c>
      <c r="CI57" s="83">
        <v>9937</v>
      </c>
      <c r="CJ57" s="83">
        <v>64567</v>
      </c>
      <c r="CK57" s="83">
        <v>368731</v>
      </c>
      <c r="CL57" s="83">
        <v>77574</v>
      </c>
      <c r="CM57" s="83">
        <v>0</v>
      </c>
      <c r="CN57" s="83">
        <v>175299</v>
      </c>
      <c r="CO57" s="83">
        <v>66122</v>
      </c>
      <c r="CP57" s="83">
        <v>2676</v>
      </c>
      <c r="CQ57" s="83">
        <v>47069</v>
      </c>
      <c r="CR57" s="83">
        <v>68</v>
      </c>
      <c r="CS57" s="83">
        <v>433298</v>
      </c>
      <c r="CT57" s="83">
        <v>44.46</v>
      </c>
      <c r="CU57" s="83">
        <v>26.62</v>
      </c>
      <c r="CV57" s="83">
        <v>28.77</v>
      </c>
      <c r="CW57" s="83">
        <v>24.46</v>
      </c>
      <c r="CX57" s="83">
        <v>47.53</v>
      </c>
      <c r="CY57" s="83">
        <v>24.81</v>
      </c>
      <c r="CZ57" s="83">
        <v>6.61</v>
      </c>
      <c r="DA57" s="83">
        <v>7.11</v>
      </c>
      <c r="DB57" s="83">
        <v>12.84</v>
      </c>
      <c r="DC57" s="83">
        <v>10.73</v>
      </c>
      <c r="DD57" s="83">
        <v>6.04</v>
      </c>
      <c r="DE57" s="83">
        <v>3.25</v>
      </c>
      <c r="DF57" s="83">
        <v>-8.09</v>
      </c>
      <c r="DG57" s="83">
        <v>-1.88</v>
      </c>
      <c r="DH57" s="83">
        <v>-1.1399999999999999</v>
      </c>
      <c r="DI57" s="83">
        <v>-2.5</v>
      </c>
      <c r="DJ57" s="83">
        <v>1.1399999999999999</v>
      </c>
      <c r="DK57" s="83">
        <v>-1.56</v>
      </c>
      <c r="DL57" s="83">
        <v>171.37</v>
      </c>
      <c r="DM57" s="83">
        <v>157.38999999999999</v>
      </c>
      <c r="DN57" s="83">
        <v>14.9</v>
      </c>
      <c r="DO57" s="83">
        <v>0.85098708000000001</v>
      </c>
      <c r="DP57" s="83">
        <v>0</v>
      </c>
      <c r="DQ57" s="83">
        <v>249454.32</v>
      </c>
      <c r="DR57" s="83">
        <v>11.06</v>
      </c>
      <c r="DS57" s="83">
        <v>33.001808320000002</v>
      </c>
      <c r="DT57" s="83">
        <v>32.03</v>
      </c>
      <c r="DU57" s="83">
        <v>11.39556666</v>
      </c>
      <c r="DV57" s="83">
        <v>0.64</v>
      </c>
      <c r="DW57" s="83">
        <v>0.44</v>
      </c>
      <c r="DX57" s="83">
        <v>7803</v>
      </c>
      <c r="DY57" s="83">
        <v>0.52</v>
      </c>
      <c r="DZ57" s="83">
        <v>17.510000000000002</v>
      </c>
      <c r="EA57" s="83">
        <v>124.01</v>
      </c>
      <c r="EB57" s="83">
        <v>6.8073243000000005E-2</v>
      </c>
      <c r="EC57" s="83">
        <v>7.1602928999999996E-2</v>
      </c>
      <c r="ED57" s="83">
        <v>6.7108275129999999</v>
      </c>
      <c r="EE57" s="83">
        <v>47068</v>
      </c>
      <c r="EF57" s="83">
        <v>30611</v>
      </c>
      <c r="EG57" s="83">
        <v>1303</v>
      </c>
      <c r="EH57" s="83">
        <v>-2097</v>
      </c>
      <c r="EI57" s="83">
        <v>0</v>
      </c>
      <c r="EJ57" s="83">
        <v>533</v>
      </c>
      <c r="EK57" s="83">
        <v>0</v>
      </c>
      <c r="EL57" s="83">
        <v>-1208</v>
      </c>
      <c r="EM57" s="83">
        <v>186</v>
      </c>
      <c r="EN57" s="83">
        <v>154</v>
      </c>
      <c r="EO57" s="83">
        <v>-7980</v>
      </c>
      <c r="EP57" s="83">
        <v>-840</v>
      </c>
      <c r="EQ57" s="83">
        <v>3351</v>
      </c>
      <c r="ER57" s="83">
        <v>1211</v>
      </c>
      <c r="ES57" s="83">
        <v>72293</v>
      </c>
      <c r="ET57" s="83">
        <v>-850</v>
      </c>
      <c r="EU57" s="83">
        <v>816</v>
      </c>
      <c r="EV57" s="83">
        <v>-5482</v>
      </c>
      <c r="EW57" s="83">
        <v>649</v>
      </c>
      <c r="EX57" s="83">
        <v>-26484</v>
      </c>
      <c r="EY57" s="83">
        <v>-1275</v>
      </c>
      <c r="EZ57" s="83">
        <v>-32628</v>
      </c>
      <c r="FA57" s="83">
        <v>-19394</v>
      </c>
      <c r="FB57" s="83">
        <v>-42854</v>
      </c>
      <c r="FC57" s="83">
        <v>0</v>
      </c>
      <c r="FD57" s="83">
        <v>0</v>
      </c>
      <c r="FE57" s="83">
        <v>0</v>
      </c>
      <c r="FF57" s="83">
        <v>0</v>
      </c>
      <c r="FG57" s="83">
        <v>0</v>
      </c>
      <c r="FH57" s="83">
        <v>0</v>
      </c>
      <c r="FI57" s="83">
        <v>-834</v>
      </c>
      <c r="FJ57" s="83">
        <v>-63082</v>
      </c>
      <c r="FK57" s="83">
        <v>0</v>
      </c>
      <c r="FL57" s="83">
        <v>-23417</v>
      </c>
      <c r="FM57" s="83">
        <v>84701</v>
      </c>
      <c r="FN57" s="83">
        <v>61283</v>
      </c>
      <c r="FO57" s="83">
        <v>0</v>
      </c>
      <c r="FP57" s="83">
        <v>9241</v>
      </c>
      <c r="FQ57" s="83">
        <v>39665</v>
      </c>
      <c r="FR57" s="83">
        <v>111</v>
      </c>
      <c r="FS57" s="83">
        <v>72.7</v>
      </c>
      <c r="FT57" s="83">
        <v>92.960800000000006</v>
      </c>
      <c r="FU57" s="83">
        <v>101</v>
      </c>
      <c r="FV57" s="83">
        <v>775745</v>
      </c>
      <c r="FW57" s="83">
        <v>679552</v>
      </c>
      <c r="FX57" s="83">
        <v>18</v>
      </c>
      <c r="FY57" s="83">
        <v>14</v>
      </c>
    </row>
    <row r="58" spans="1:181" hidden="1">
      <c r="A58" s="83">
        <v>2412</v>
      </c>
      <c r="B58" s="83">
        <v>99</v>
      </c>
      <c r="C58" s="83">
        <v>12.87</v>
      </c>
      <c r="D58" s="83">
        <v>4.91</v>
      </c>
      <c r="E58" s="83">
        <v>5.5243000000000002</v>
      </c>
      <c r="F58" s="83">
        <v>0</v>
      </c>
      <c r="G58" s="83">
        <v>1.1251120160000001</v>
      </c>
      <c r="H58" s="83">
        <v>-0.13861611400000001</v>
      </c>
      <c r="I58" s="83">
        <v>47</v>
      </c>
      <c r="J58" s="83">
        <v>186411</v>
      </c>
      <c r="K58" s="83">
        <v>98676</v>
      </c>
      <c r="L58" s="83">
        <v>87735</v>
      </c>
      <c r="M58" s="83">
        <v>0</v>
      </c>
      <c r="N58" s="83">
        <v>31983</v>
      </c>
      <c r="O58" s="83">
        <v>55752</v>
      </c>
      <c r="P58" s="83">
        <v>446</v>
      </c>
      <c r="Q58" s="83">
        <v>796</v>
      </c>
      <c r="R58" s="83">
        <v>0</v>
      </c>
      <c r="S58" s="83">
        <v>0</v>
      </c>
      <c r="T58" s="83">
        <v>0</v>
      </c>
      <c r="U58" s="83">
        <v>0</v>
      </c>
      <c r="V58" s="83">
        <v>7</v>
      </c>
      <c r="W58" s="83">
        <v>237</v>
      </c>
      <c r="X58" s="83">
        <v>1485</v>
      </c>
      <c r="Y58" s="83">
        <v>75</v>
      </c>
      <c r="Z58" s="83">
        <v>0</v>
      </c>
      <c r="AA58" s="83">
        <v>386</v>
      </c>
      <c r="AB58" s="83">
        <v>12</v>
      </c>
      <c r="AC58" s="83">
        <v>209</v>
      </c>
      <c r="AD58" s="83">
        <v>0</v>
      </c>
      <c r="AE58" s="83">
        <v>0</v>
      </c>
      <c r="AF58" s="83">
        <v>118</v>
      </c>
      <c r="AG58" s="83">
        <v>799</v>
      </c>
      <c r="AH58" s="83">
        <v>686</v>
      </c>
      <c r="AI58" s="83">
        <v>56438</v>
      </c>
      <c r="AJ58" s="83">
        <v>8829</v>
      </c>
      <c r="AK58" s="83">
        <v>47609</v>
      </c>
      <c r="AL58" s="83">
        <v>0</v>
      </c>
      <c r="AM58" s="83">
        <v>0</v>
      </c>
      <c r="AN58" s="83">
        <v>0</v>
      </c>
      <c r="AO58" s="83">
        <v>47609</v>
      </c>
      <c r="AP58" s="83">
        <v>4.91</v>
      </c>
      <c r="AQ58" s="83">
        <v>96968</v>
      </c>
      <c r="AR58" s="83">
        <v>0</v>
      </c>
      <c r="AS58" s="83">
        <v>84701</v>
      </c>
      <c r="AT58" s="83">
        <v>3028</v>
      </c>
      <c r="AU58" s="83">
        <v>13415</v>
      </c>
      <c r="AV58" s="83">
        <v>440</v>
      </c>
      <c r="AW58" s="83">
        <v>0</v>
      </c>
      <c r="AX58" s="83">
        <v>2917</v>
      </c>
      <c r="AY58" s="83" t="s">
        <v>86</v>
      </c>
      <c r="AZ58" s="83">
        <v>1448</v>
      </c>
      <c r="BA58" s="83">
        <v>1952</v>
      </c>
      <c r="BB58" s="83">
        <v>107901</v>
      </c>
      <c r="BC58" s="83">
        <v>22780</v>
      </c>
      <c r="BD58" s="83">
        <v>101709</v>
      </c>
      <c r="BE58" s="83">
        <v>65721</v>
      </c>
      <c r="BF58" s="83">
        <v>670313</v>
      </c>
      <c r="BG58" s="83">
        <v>10895</v>
      </c>
      <c r="BH58" s="83">
        <v>5801</v>
      </c>
      <c r="BI58" s="83">
        <v>-565757</v>
      </c>
      <c r="BJ58" s="83">
        <v>0</v>
      </c>
      <c r="BK58" s="83">
        <v>12015</v>
      </c>
      <c r="BL58" s="83">
        <v>300697</v>
      </c>
      <c r="BM58" s="83">
        <v>398</v>
      </c>
      <c r="BN58" s="83">
        <v>6436</v>
      </c>
      <c r="BO58" s="83">
        <v>6175</v>
      </c>
      <c r="BP58" s="83">
        <v>13009</v>
      </c>
      <c r="BQ58" s="83">
        <v>444387</v>
      </c>
      <c r="BR58" s="83">
        <v>0</v>
      </c>
      <c r="BS58" s="83">
        <v>0</v>
      </c>
      <c r="BT58" s="83">
        <v>10310</v>
      </c>
      <c r="BU58" s="83">
        <v>17262</v>
      </c>
      <c r="BV58" s="83">
        <v>7966</v>
      </c>
      <c r="BW58" s="83">
        <v>25935</v>
      </c>
      <c r="BX58" s="83">
        <v>4412</v>
      </c>
      <c r="BY58" s="83">
        <v>0</v>
      </c>
      <c r="BZ58" s="83">
        <v>2396</v>
      </c>
      <c r="CA58" s="83">
        <v>68281</v>
      </c>
      <c r="CB58" s="83">
        <v>0</v>
      </c>
      <c r="CC58" s="83">
        <v>4029</v>
      </c>
      <c r="CD58" s="83">
        <v>1283</v>
      </c>
      <c r="CE58" s="83">
        <v>0</v>
      </c>
      <c r="CF58" s="83">
        <v>95</v>
      </c>
      <c r="CG58" s="83">
        <v>0</v>
      </c>
      <c r="CH58" s="83">
        <v>6121</v>
      </c>
      <c r="CI58" s="83">
        <v>11527</v>
      </c>
      <c r="CJ58" s="83">
        <v>79808</v>
      </c>
      <c r="CK58" s="83">
        <v>364579</v>
      </c>
      <c r="CL58" s="83">
        <v>77574</v>
      </c>
      <c r="CM58" s="83">
        <v>0</v>
      </c>
      <c r="CN58" s="83">
        <v>175318</v>
      </c>
      <c r="CO58" s="83">
        <v>61361</v>
      </c>
      <c r="CP58" s="83">
        <v>2676</v>
      </c>
      <c r="CQ58" s="83">
        <v>47616</v>
      </c>
      <c r="CR58" s="83">
        <v>176</v>
      </c>
      <c r="CS58" s="83">
        <v>444387</v>
      </c>
      <c r="CT58" s="83">
        <v>47.07</v>
      </c>
      <c r="CU58" s="83">
        <v>29.91</v>
      </c>
      <c r="CV58" s="83">
        <v>30.28</v>
      </c>
      <c r="CW58" s="83">
        <v>25.54</v>
      </c>
      <c r="CX58" s="83">
        <v>47</v>
      </c>
      <c r="CY58" s="83">
        <v>24.03</v>
      </c>
      <c r="CZ58" s="83">
        <v>7.19</v>
      </c>
      <c r="DA58" s="83">
        <v>5.82</v>
      </c>
      <c r="DB58" s="83">
        <v>12.87</v>
      </c>
      <c r="DC58" s="83">
        <v>10.74</v>
      </c>
      <c r="DD58" s="83">
        <v>4.91</v>
      </c>
      <c r="DE58" s="83">
        <v>1.29</v>
      </c>
      <c r="DF58" s="83">
        <v>1.1100000000000001</v>
      </c>
      <c r="DG58" s="83">
        <v>0.49</v>
      </c>
      <c r="DH58" s="83">
        <v>8.8000000000000007</v>
      </c>
      <c r="DI58" s="83">
        <v>0.28000000000000003</v>
      </c>
      <c r="DJ58" s="83">
        <v>-2.83</v>
      </c>
      <c r="DK58" s="83">
        <v>-5.04</v>
      </c>
      <c r="DL58" s="83">
        <v>158.03</v>
      </c>
      <c r="DM58" s="83">
        <v>148.77000000000001</v>
      </c>
      <c r="DN58" s="83">
        <v>17.96</v>
      </c>
      <c r="DO58" s="83">
        <v>0.82040878800000006</v>
      </c>
      <c r="DP58" s="83">
        <v>0</v>
      </c>
      <c r="DQ58" s="83">
        <v>748.94</v>
      </c>
      <c r="DR58" s="83">
        <v>14.99</v>
      </c>
      <c r="DS58" s="83">
        <v>24.349566379999999</v>
      </c>
      <c r="DT58" s="83">
        <v>30.59</v>
      </c>
      <c r="DU58" s="83">
        <v>11.93200392</v>
      </c>
      <c r="DV58" s="83">
        <v>0.61</v>
      </c>
      <c r="DW58" s="83">
        <v>0.42</v>
      </c>
      <c r="DX58" s="83">
        <v>7617</v>
      </c>
      <c r="DY58" s="83">
        <v>0.5</v>
      </c>
      <c r="DZ58" s="83">
        <v>21.89</v>
      </c>
      <c r="EA58" s="83">
        <v>121.24</v>
      </c>
      <c r="EB58" s="83">
        <v>5.1261625999999998E-2</v>
      </c>
      <c r="EC58" s="83">
        <v>3.4942932000000003E-2</v>
      </c>
      <c r="ED58" s="83">
        <v>5.5682011830000002</v>
      </c>
      <c r="EE58" s="83">
        <v>47609</v>
      </c>
      <c r="EF58" s="83">
        <v>32459</v>
      </c>
      <c r="EG58" s="83">
        <v>1189</v>
      </c>
      <c r="EH58" s="83">
        <v>-779</v>
      </c>
      <c r="EI58" s="83">
        <v>0</v>
      </c>
      <c r="EJ58" s="83">
        <v>279</v>
      </c>
      <c r="EK58" s="83">
        <v>0</v>
      </c>
      <c r="EL58" s="83">
        <v>209</v>
      </c>
      <c r="EM58" s="83">
        <v>397</v>
      </c>
      <c r="EN58" s="83">
        <v>75</v>
      </c>
      <c r="EO58" s="83">
        <v>-1966</v>
      </c>
      <c r="EP58" s="83">
        <v>618</v>
      </c>
      <c r="EQ58" s="83">
        <v>1805</v>
      </c>
      <c r="ER58" s="83">
        <v>1389</v>
      </c>
      <c r="ES58" s="83">
        <v>83284</v>
      </c>
      <c r="ET58" s="83">
        <v>15642</v>
      </c>
      <c r="EU58" s="83">
        <v>0</v>
      </c>
      <c r="EV58" s="83">
        <v>-5780</v>
      </c>
      <c r="EW58" s="83">
        <v>21</v>
      </c>
      <c r="EX58" s="83">
        <v>-24303</v>
      </c>
      <c r="EY58" s="83">
        <v>-3499</v>
      </c>
      <c r="EZ58" s="83">
        <v>-17919</v>
      </c>
      <c r="FA58" s="83">
        <v>-9697</v>
      </c>
      <c r="FB58" s="83">
        <v>-39369</v>
      </c>
      <c r="FC58" s="83">
        <v>0</v>
      </c>
      <c r="FD58" s="83">
        <v>0</v>
      </c>
      <c r="FE58" s="83">
        <v>0</v>
      </c>
      <c r="FF58" s="83">
        <v>0</v>
      </c>
      <c r="FG58" s="83">
        <v>0</v>
      </c>
      <c r="FH58" s="83">
        <v>0</v>
      </c>
      <c r="FI58" s="83">
        <v>8</v>
      </c>
      <c r="FJ58" s="83">
        <v>-49058</v>
      </c>
      <c r="FK58" s="83">
        <v>0</v>
      </c>
      <c r="FL58" s="83">
        <v>16307</v>
      </c>
      <c r="FM58" s="83">
        <v>68393</v>
      </c>
      <c r="FN58" s="83">
        <v>84701</v>
      </c>
      <c r="FO58" s="83">
        <v>69</v>
      </c>
      <c r="FP58" s="83">
        <v>8568</v>
      </c>
      <c r="FQ58" s="83">
        <v>65365</v>
      </c>
      <c r="FR58" s="83">
        <v>79</v>
      </c>
      <c r="FS58" s="83">
        <v>57.9</v>
      </c>
      <c r="FT58" s="83">
        <v>98.485100000000003</v>
      </c>
      <c r="FU58" s="83">
        <v>100</v>
      </c>
      <c r="FV58" s="83">
        <v>853319</v>
      </c>
      <c r="FW58" s="83">
        <v>672571</v>
      </c>
      <c r="FX58" s="83">
        <v>18</v>
      </c>
      <c r="FY58" s="83">
        <v>14</v>
      </c>
    </row>
    <row r="59" spans="1:181" hidden="1">
      <c r="A59" s="83">
        <v>2412</v>
      </c>
      <c r="B59" s="83">
        <v>98</v>
      </c>
      <c r="C59" s="83">
        <v>11.64</v>
      </c>
      <c r="D59" s="83">
        <v>4.51</v>
      </c>
      <c r="E59" s="83">
        <v>4.0599999999999996</v>
      </c>
      <c r="F59" s="83">
        <v>0</v>
      </c>
      <c r="G59" s="83">
        <v>0.90022172899999997</v>
      </c>
      <c r="H59" s="83">
        <v>-0.21403244499999999</v>
      </c>
      <c r="I59" s="83">
        <v>38.69</v>
      </c>
      <c r="J59" s="83">
        <v>184040</v>
      </c>
      <c r="K59" s="83">
        <v>97229</v>
      </c>
      <c r="L59" s="83">
        <v>86811</v>
      </c>
      <c r="M59" s="83">
        <v>0</v>
      </c>
      <c r="N59" s="83">
        <v>31670</v>
      </c>
      <c r="O59" s="83">
        <v>55141</v>
      </c>
      <c r="P59" s="83">
        <v>454</v>
      </c>
      <c r="Q59" s="83">
        <v>281</v>
      </c>
      <c r="R59" s="83">
        <v>0</v>
      </c>
      <c r="S59" s="83">
        <v>101</v>
      </c>
      <c r="T59" s="83">
        <v>5</v>
      </c>
      <c r="U59" s="83">
        <v>0</v>
      </c>
      <c r="V59" s="83">
        <v>88</v>
      </c>
      <c r="W59" s="83">
        <v>647</v>
      </c>
      <c r="X59" s="83">
        <v>1576</v>
      </c>
      <c r="Y59" s="83">
        <v>3</v>
      </c>
      <c r="Z59" s="83">
        <v>0</v>
      </c>
      <c r="AA59" s="83">
        <v>194</v>
      </c>
      <c r="AB59" s="83">
        <v>95</v>
      </c>
      <c r="AC59" s="83">
        <v>0</v>
      </c>
      <c r="AD59" s="83">
        <v>0</v>
      </c>
      <c r="AE59" s="83">
        <v>0</v>
      </c>
      <c r="AF59" s="83">
        <v>261</v>
      </c>
      <c r="AG59" s="83">
        <v>553</v>
      </c>
      <c r="AH59" s="83">
        <v>1023</v>
      </c>
      <c r="AI59" s="83">
        <v>56163</v>
      </c>
      <c r="AJ59" s="83">
        <v>12406</v>
      </c>
      <c r="AK59" s="83">
        <v>43757</v>
      </c>
      <c r="AL59" s="83">
        <v>0</v>
      </c>
      <c r="AM59" s="83">
        <v>0</v>
      </c>
      <c r="AN59" s="83">
        <v>0</v>
      </c>
      <c r="AO59" s="83">
        <v>43757</v>
      </c>
      <c r="AP59" s="83">
        <v>4.51</v>
      </c>
      <c r="AQ59" s="83">
        <v>96968</v>
      </c>
      <c r="AR59" s="83">
        <v>0</v>
      </c>
      <c r="AS59" s="83">
        <v>68393</v>
      </c>
      <c r="AT59" s="83">
        <v>17791</v>
      </c>
      <c r="AU59" s="83">
        <v>11449</v>
      </c>
      <c r="AV59" s="83">
        <v>433</v>
      </c>
      <c r="AW59" s="83">
        <v>0</v>
      </c>
      <c r="AX59" s="83">
        <v>3535</v>
      </c>
      <c r="AY59" s="83" t="s">
        <v>86</v>
      </c>
      <c r="AZ59" s="83">
        <v>1367</v>
      </c>
      <c r="BA59" s="83">
        <v>1601</v>
      </c>
      <c r="BB59" s="83">
        <v>104569</v>
      </c>
      <c r="BC59" s="83">
        <v>17326</v>
      </c>
      <c r="BD59" s="83">
        <v>101266</v>
      </c>
      <c r="BE59" s="83">
        <v>62669</v>
      </c>
      <c r="BF59" s="83">
        <v>670246</v>
      </c>
      <c r="BG59" s="83">
        <v>10709</v>
      </c>
      <c r="BH59" s="83">
        <v>5801</v>
      </c>
      <c r="BI59" s="83">
        <v>-555894</v>
      </c>
      <c r="BJ59" s="83">
        <v>0</v>
      </c>
      <c r="BK59" s="83">
        <v>15715</v>
      </c>
      <c r="BL59" s="83">
        <v>310513</v>
      </c>
      <c r="BM59" s="83">
        <v>398</v>
      </c>
      <c r="BN59" s="83">
        <v>7156</v>
      </c>
      <c r="BO59" s="83">
        <v>3198</v>
      </c>
      <c r="BP59" s="83">
        <v>10752</v>
      </c>
      <c r="BQ59" s="83">
        <v>443160</v>
      </c>
      <c r="BR59" s="83">
        <v>0</v>
      </c>
      <c r="BS59" s="83">
        <v>0</v>
      </c>
      <c r="BT59" s="83">
        <v>8505</v>
      </c>
      <c r="BU59" s="83">
        <v>16500</v>
      </c>
      <c r="BV59" s="83">
        <v>6477</v>
      </c>
      <c r="BW59" s="83">
        <v>18376</v>
      </c>
      <c r="BX59" s="83">
        <v>4158</v>
      </c>
      <c r="BY59" s="83">
        <v>0</v>
      </c>
      <c r="BZ59" s="83">
        <v>2494</v>
      </c>
      <c r="CA59" s="83">
        <v>56511</v>
      </c>
      <c r="CB59" s="83">
        <v>0</v>
      </c>
      <c r="CC59" s="83">
        <v>3970</v>
      </c>
      <c r="CD59" s="83">
        <v>1208</v>
      </c>
      <c r="CE59" s="83">
        <v>0</v>
      </c>
      <c r="CF59" s="83">
        <v>95</v>
      </c>
      <c r="CG59" s="83">
        <v>0</v>
      </c>
      <c r="CH59" s="83">
        <v>6166</v>
      </c>
      <c r="CI59" s="83">
        <v>11438</v>
      </c>
      <c r="CJ59" s="83">
        <v>67949</v>
      </c>
      <c r="CK59" s="83">
        <v>375211</v>
      </c>
      <c r="CL59" s="83">
        <v>96968</v>
      </c>
      <c r="CM59" s="83">
        <v>0</v>
      </c>
      <c r="CN59" s="83">
        <v>175313</v>
      </c>
      <c r="CO59" s="83">
        <v>56987</v>
      </c>
      <c r="CP59" s="83">
        <v>2676</v>
      </c>
      <c r="CQ59" s="83">
        <v>43750</v>
      </c>
      <c r="CR59" s="83">
        <v>-447</v>
      </c>
      <c r="CS59" s="83">
        <v>443160</v>
      </c>
      <c r="CT59" s="83">
        <v>47.17</v>
      </c>
      <c r="CU59" s="83">
        <v>29.96</v>
      </c>
      <c r="CV59" s="83">
        <v>30.52</v>
      </c>
      <c r="CW59" s="83">
        <v>23.78</v>
      </c>
      <c r="CX59" s="83">
        <v>38.69</v>
      </c>
      <c r="CY59" s="83">
        <v>18.98</v>
      </c>
      <c r="CZ59" s="83">
        <v>5.69</v>
      </c>
      <c r="DA59" s="83">
        <v>5.79</v>
      </c>
      <c r="DB59" s="83">
        <v>11.64</v>
      </c>
      <c r="DC59" s="83">
        <v>9.6999999999999993</v>
      </c>
      <c r="DD59" s="83">
        <v>4.51</v>
      </c>
      <c r="DE59" s="83">
        <v>-1.47</v>
      </c>
      <c r="DF59" s="83">
        <v>-3.54</v>
      </c>
      <c r="DG59" s="83">
        <v>-3.95</v>
      </c>
      <c r="DH59" s="83">
        <v>-2.78</v>
      </c>
      <c r="DI59" s="83">
        <v>-3.51</v>
      </c>
      <c r="DJ59" s="83">
        <v>-0.36</v>
      </c>
      <c r="DK59" s="83">
        <v>-5.0599999999999996</v>
      </c>
      <c r="DL59" s="83">
        <v>185.04</v>
      </c>
      <c r="DM59" s="83">
        <v>173.53</v>
      </c>
      <c r="DN59" s="83">
        <v>15.33</v>
      </c>
      <c r="DO59" s="83">
        <v>0.84667163099999998</v>
      </c>
      <c r="DP59" s="83">
        <v>0</v>
      </c>
      <c r="DQ59" s="83">
        <v>20232.78</v>
      </c>
      <c r="DR59" s="83">
        <v>16.739999999999998</v>
      </c>
      <c r="DS59" s="83">
        <v>21.804062129999998</v>
      </c>
      <c r="DT59" s="83">
        <v>27.63</v>
      </c>
      <c r="DU59" s="83">
        <v>13.21027868</v>
      </c>
      <c r="DV59" s="83">
        <v>0.57999999999999996</v>
      </c>
      <c r="DW59" s="83">
        <v>0.41</v>
      </c>
      <c r="DX59" s="83">
        <v>7461</v>
      </c>
      <c r="DY59" s="83">
        <v>0.49</v>
      </c>
      <c r="DZ59" s="83">
        <v>18.11</v>
      </c>
      <c r="EA59" s="83">
        <v>120.84</v>
      </c>
      <c r="EB59" s="83">
        <v>3.9096488999999998E-2</v>
      </c>
      <c r="EC59" s="83">
        <v>1.6218400000000001E-2</v>
      </c>
      <c r="ED59" s="83">
        <v>6.521950286</v>
      </c>
      <c r="EE59" s="83">
        <v>43757</v>
      </c>
      <c r="EF59" s="83">
        <v>34892</v>
      </c>
      <c r="EG59" s="83">
        <v>1081</v>
      </c>
      <c r="EH59" s="83">
        <v>-281</v>
      </c>
      <c r="EI59" s="83">
        <v>0</v>
      </c>
      <c r="EJ59" s="83">
        <v>393</v>
      </c>
      <c r="EK59" s="83">
        <v>0</v>
      </c>
      <c r="EL59" s="83">
        <v>-5</v>
      </c>
      <c r="EM59" s="83">
        <v>189</v>
      </c>
      <c r="EN59" s="83">
        <v>-3956</v>
      </c>
      <c r="EO59" s="83">
        <v>-915</v>
      </c>
      <c r="EP59" s="83">
        <v>-32</v>
      </c>
      <c r="EQ59" s="83">
        <v>-2692</v>
      </c>
      <c r="ER59" s="83">
        <v>3776</v>
      </c>
      <c r="ES59" s="83">
        <v>76207</v>
      </c>
      <c r="ET59" s="83">
        <v>-975</v>
      </c>
      <c r="EU59" s="83">
        <v>286</v>
      </c>
      <c r="EV59" s="83">
        <v>-2869</v>
      </c>
      <c r="EW59" s="83">
        <v>65</v>
      </c>
      <c r="EX59" s="83">
        <v>-24344</v>
      </c>
      <c r="EY59" s="83">
        <v>-563</v>
      </c>
      <c r="EZ59" s="83">
        <v>-28401</v>
      </c>
      <c r="FA59" s="83">
        <v>-19116</v>
      </c>
      <c r="FB59" s="83">
        <v>-37139</v>
      </c>
      <c r="FC59" s="83">
        <v>0</v>
      </c>
      <c r="FD59" s="83">
        <v>0</v>
      </c>
      <c r="FE59" s="83">
        <v>0</v>
      </c>
      <c r="FF59" s="83">
        <v>0</v>
      </c>
      <c r="FG59" s="83">
        <v>0</v>
      </c>
      <c r="FH59" s="83">
        <v>0</v>
      </c>
      <c r="FI59" s="83">
        <v>-296</v>
      </c>
      <c r="FJ59" s="83">
        <v>-56551</v>
      </c>
      <c r="FK59" s="83">
        <v>0</v>
      </c>
      <c r="FL59" s="83">
        <v>-8745</v>
      </c>
      <c r="FM59" s="83">
        <v>77138</v>
      </c>
      <c r="FN59" s="83">
        <v>68393</v>
      </c>
      <c r="FO59" s="83">
        <v>0</v>
      </c>
      <c r="FP59" s="83">
        <v>12589</v>
      </c>
      <c r="FQ59" s="83">
        <v>47806</v>
      </c>
      <c r="FR59" s="83">
        <v>68.2</v>
      </c>
      <c r="FS59" s="83">
        <v>50</v>
      </c>
      <c r="FT59" s="83">
        <v>102.54510000000001</v>
      </c>
      <c r="FU59" s="83">
        <v>99</v>
      </c>
      <c r="FV59" s="83">
        <v>743745</v>
      </c>
      <c r="FW59" s="83">
        <v>575021</v>
      </c>
      <c r="FX59" s="83">
        <v>16</v>
      </c>
      <c r="FY59" s="83">
        <v>13</v>
      </c>
    </row>
    <row r="60" spans="1:181" hidden="1">
      <c r="A60" s="83">
        <v>2412</v>
      </c>
      <c r="B60" s="83">
        <v>97</v>
      </c>
      <c r="C60" s="83">
        <v>11.67</v>
      </c>
      <c r="D60" s="83">
        <v>4.6399999999999997</v>
      </c>
      <c r="E60" s="83">
        <v>3.83</v>
      </c>
      <c r="F60" s="83">
        <v>1</v>
      </c>
      <c r="G60" s="83">
        <v>0.82543103399999995</v>
      </c>
      <c r="H60" s="83">
        <v>-0.26316582599999999</v>
      </c>
      <c r="I60" s="83">
        <v>38.83</v>
      </c>
      <c r="J60" s="83">
        <v>186781</v>
      </c>
      <c r="K60" s="83">
        <v>95812</v>
      </c>
      <c r="L60" s="83">
        <v>90968</v>
      </c>
      <c r="M60" s="83">
        <v>0</v>
      </c>
      <c r="N60" s="83">
        <v>33804</v>
      </c>
      <c r="O60" s="83">
        <v>57165</v>
      </c>
      <c r="P60" s="83">
        <v>1867</v>
      </c>
      <c r="Q60" s="83">
        <v>362</v>
      </c>
      <c r="R60" s="83">
        <v>0</v>
      </c>
      <c r="S60" s="83">
        <v>551</v>
      </c>
      <c r="T60" s="83">
        <v>0</v>
      </c>
      <c r="U60" s="83">
        <v>0</v>
      </c>
      <c r="V60" s="83">
        <v>329</v>
      </c>
      <c r="W60" s="83">
        <v>398</v>
      </c>
      <c r="X60" s="83">
        <v>3507</v>
      </c>
      <c r="Y60" s="83">
        <v>0</v>
      </c>
      <c r="Z60" s="83">
        <v>0</v>
      </c>
      <c r="AA60" s="83">
        <v>660</v>
      </c>
      <c r="AB60" s="83">
        <v>1164</v>
      </c>
      <c r="AC60" s="83">
        <v>277</v>
      </c>
      <c r="AD60" s="83">
        <v>0</v>
      </c>
      <c r="AE60" s="83">
        <v>0</v>
      </c>
      <c r="AF60" s="83">
        <v>97</v>
      </c>
      <c r="AG60" s="83">
        <v>2199</v>
      </c>
      <c r="AH60" s="83">
        <v>1308</v>
      </c>
      <c r="AI60" s="83">
        <v>58473</v>
      </c>
      <c r="AJ60" s="83">
        <v>13463</v>
      </c>
      <c r="AK60" s="83">
        <v>45010</v>
      </c>
      <c r="AL60" s="83">
        <v>0</v>
      </c>
      <c r="AM60" s="83">
        <v>0</v>
      </c>
      <c r="AN60" s="83">
        <v>0</v>
      </c>
      <c r="AO60" s="83">
        <v>45010</v>
      </c>
      <c r="AP60" s="83">
        <v>4.6399999999999997</v>
      </c>
      <c r="AQ60" s="83">
        <v>96968</v>
      </c>
      <c r="AR60" s="83">
        <v>0</v>
      </c>
      <c r="AS60" s="83">
        <v>77138</v>
      </c>
      <c r="AT60" s="83">
        <v>15189</v>
      </c>
      <c r="AU60" s="83">
        <v>10533</v>
      </c>
      <c r="AV60" s="83">
        <v>527</v>
      </c>
      <c r="AW60" s="83">
        <v>0</v>
      </c>
      <c r="AX60" s="83">
        <v>3504</v>
      </c>
      <c r="AY60" s="83" t="s">
        <v>86</v>
      </c>
      <c r="AZ60" s="83">
        <v>1438</v>
      </c>
      <c r="BA60" s="83">
        <v>1958</v>
      </c>
      <c r="BB60" s="83">
        <v>110287</v>
      </c>
      <c r="BC60" s="83">
        <v>15257</v>
      </c>
      <c r="BD60" s="83">
        <v>101259</v>
      </c>
      <c r="BE60" s="83">
        <v>62612</v>
      </c>
      <c r="BF60" s="83">
        <v>664557</v>
      </c>
      <c r="BG60" s="83">
        <v>11147</v>
      </c>
      <c r="BH60" s="83">
        <v>5811</v>
      </c>
      <c r="BI60" s="83">
        <v>-540010</v>
      </c>
      <c r="BJ60" s="83">
        <v>0</v>
      </c>
      <c r="BK60" s="83">
        <v>15989</v>
      </c>
      <c r="BL60" s="83">
        <v>321364</v>
      </c>
      <c r="BM60" s="83">
        <v>1488</v>
      </c>
      <c r="BN60" s="83">
        <v>7893</v>
      </c>
      <c r="BO60" s="83">
        <v>2980</v>
      </c>
      <c r="BP60" s="83">
        <v>12360</v>
      </c>
      <c r="BQ60" s="83">
        <v>459269</v>
      </c>
      <c r="BR60" s="83">
        <v>0</v>
      </c>
      <c r="BS60" s="83">
        <v>0</v>
      </c>
      <c r="BT60" s="83">
        <v>11197</v>
      </c>
      <c r="BU60" s="83">
        <v>15681</v>
      </c>
      <c r="BV60" s="83">
        <v>5624</v>
      </c>
      <c r="BW60" s="83">
        <v>26729</v>
      </c>
      <c r="BX60" s="83">
        <v>5434</v>
      </c>
      <c r="BY60" s="83">
        <v>0</v>
      </c>
      <c r="BZ60" s="83">
        <v>2705</v>
      </c>
      <c r="CA60" s="83">
        <v>67370</v>
      </c>
      <c r="CB60" s="83">
        <v>0</v>
      </c>
      <c r="CC60" s="83">
        <v>3558</v>
      </c>
      <c r="CD60" s="83">
        <v>5164</v>
      </c>
      <c r="CE60" s="83">
        <v>0</v>
      </c>
      <c r="CF60" s="83">
        <v>95</v>
      </c>
      <c r="CG60" s="83">
        <v>0</v>
      </c>
      <c r="CH60" s="83">
        <v>6525</v>
      </c>
      <c r="CI60" s="83">
        <v>15343</v>
      </c>
      <c r="CJ60" s="83">
        <v>82712</v>
      </c>
      <c r="CK60" s="83">
        <v>376556</v>
      </c>
      <c r="CL60" s="83">
        <v>96968</v>
      </c>
      <c r="CM60" s="83">
        <v>0</v>
      </c>
      <c r="CN60" s="83">
        <v>185019</v>
      </c>
      <c r="CO60" s="83">
        <v>52860</v>
      </c>
      <c r="CP60" s="83">
        <v>2676</v>
      </c>
      <c r="CQ60" s="83">
        <v>41276</v>
      </c>
      <c r="CR60" s="83">
        <v>-2272</v>
      </c>
      <c r="CS60" s="83">
        <v>459269</v>
      </c>
      <c r="CT60" s="83">
        <v>48.7</v>
      </c>
      <c r="CU60" s="83">
        <v>30.61</v>
      </c>
      <c r="CV60" s="83">
        <v>31.31</v>
      </c>
      <c r="CW60" s="83">
        <v>24.1</v>
      </c>
      <c r="CX60" s="83">
        <v>38.83</v>
      </c>
      <c r="CY60" s="83">
        <v>19.260000000000002</v>
      </c>
      <c r="CZ60" s="83">
        <v>5.9</v>
      </c>
      <c r="DA60" s="83">
        <v>6.03</v>
      </c>
      <c r="DB60" s="83">
        <v>11.67</v>
      </c>
      <c r="DC60" s="83">
        <v>9.74</v>
      </c>
      <c r="DD60" s="83">
        <v>4.6399999999999997</v>
      </c>
      <c r="DE60" s="83">
        <v>0.24</v>
      </c>
      <c r="DF60" s="83">
        <v>-4.1900000000000004</v>
      </c>
      <c r="DG60" s="83">
        <v>-4.29</v>
      </c>
      <c r="DH60" s="83">
        <v>-6.71</v>
      </c>
      <c r="DI60" s="83">
        <v>-1.28</v>
      </c>
      <c r="DJ60" s="83">
        <v>-4.6900000000000004</v>
      </c>
      <c r="DK60" s="83">
        <v>-3.62</v>
      </c>
      <c r="DL60" s="83">
        <v>163.69999999999999</v>
      </c>
      <c r="DM60" s="83">
        <v>153.46</v>
      </c>
      <c r="DN60" s="83">
        <v>18.010000000000002</v>
      </c>
      <c r="DO60" s="83">
        <v>0.81990293299999994</v>
      </c>
      <c r="DP60" s="83">
        <v>0</v>
      </c>
      <c r="DQ60" s="83">
        <v>144735.81</v>
      </c>
      <c r="DR60" s="83">
        <v>17.61</v>
      </c>
      <c r="DS60" s="83">
        <v>20.726859739999998</v>
      </c>
      <c r="DT60" s="83">
        <v>30.43</v>
      </c>
      <c r="DU60" s="83">
        <v>11.994742029999999</v>
      </c>
      <c r="DV60" s="83">
        <v>0.56999999999999995</v>
      </c>
      <c r="DW60" s="83">
        <v>0.4</v>
      </c>
      <c r="DX60" s="83">
        <v>7608</v>
      </c>
      <c r="DY60" s="83">
        <v>0.48</v>
      </c>
      <c r="DZ60" s="83">
        <v>21.97</v>
      </c>
      <c r="EA60" s="83">
        <v>117.17</v>
      </c>
      <c r="EB60" s="83">
        <v>3.3220183E-2</v>
      </c>
      <c r="EC60" s="83">
        <v>2.3726813999999999E-2</v>
      </c>
      <c r="ED60" s="83">
        <v>5.5526283970000003</v>
      </c>
      <c r="EE60" s="83">
        <v>45010</v>
      </c>
      <c r="EF60" s="83">
        <v>37969</v>
      </c>
      <c r="EG60" s="83">
        <v>0</v>
      </c>
      <c r="EH60" s="83">
        <v>-362</v>
      </c>
      <c r="EI60" s="83">
        <v>0</v>
      </c>
      <c r="EJ60" s="83">
        <v>435</v>
      </c>
      <c r="EK60" s="83">
        <v>0</v>
      </c>
      <c r="EL60" s="83">
        <v>277</v>
      </c>
      <c r="EM60" s="83">
        <v>1274</v>
      </c>
      <c r="EN60" s="83">
        <v>1252</v>
      </c>
      <c r="EO60" s="83">
        <v>149</v>
      </c>
      <c r="EP60" s="83">
        <v>-710</v>
      </c>
      <c r="EQ60" s="83">
        <v>208</v>
      </c>
      <c r="ER60" s="83">
        <v>4256</v>
      </c>
      <c r="ES60" s="83">
        <v>89758</v>
      </c>
      <c r="ET60" s="83">
        <v>-632</v>
      </c>
      <c r="EU60" s="83">
        <v>44</v>
      </c>
      <c r="EV60" s="83">
        <v>-7260</v>
      </c>
      <c r="EW60" s="83">
        <v>2642</v>
      </c>
      <c r="EX60" s="83">
        <v>-29660</v>
      </c>
      <c r="EY60" s="83">
        <v>-590</v>
      </c>
      <c r="EZ60" s="83">
        <v>-35456</v>
      </c>
      <c r="FA60" s="83">
        <v>-9558</v>
      </c>
      <c r="FB60" s="83">
        <v>-40716</v>
      </c>
      <c r="FC60" s="83">
        <v>-1347</v>
      </c>
      <c r="FD60" s="83">
        <v>0</v>
      </c>
      <c r="FE60" s="83">
        <v>0</v>
      </c>
      <c r="FF60" s="83">
        <v>0</v>
      </c>
      <c r="FG60" s="83">
        <v>0</v>
      </c>
      <c r="FH60" s="83">
        <v>0</v>
      </c>
      <c r="FI60" s="83">
        <v>-296</v>
      </c>
      <c r="FJ60" s="83">
        <v>-51917</v>
      </c>
      <c r="FK60" s="83">
        <v>0</v>
      </c>
      <c r="FL60" s="83">
        <v>2385</v>
      </c>
      <c r="FM60" s="83">
        <v>74753</v>
      </c>
      <c r="FN60" s="83">
        <v>77138</v>
      </c>
      <c r="FO60" s="83">
        <v>0</v>
      </c>
      <c r="FP60" s="83">
        <v>15168</v>
      </c>
      <c r="FQ60" s="83">
        <v>54302</v>
      </c>
      <c r="FR60" s="83">
        <v>83.2</v>
      </c>
      <c r="FS60" s="83">
        <v>45.6</v>
      </c>
      <c r="FT60" s="83">
        <v>116.62961</v>
      </c>
      <c r="FU60" s="83">
        <v>98</v>
      </c>
      <c r="FV60" s="83">
        <v>638050</v>
      </c>
      <c r="FW60" s="83">
        <v>567263</v>
      </c>
      <c r="FX60" s="83">
        <v>15</v>
      </c>
      <c r="FY60" s="83">
        <v>12</v>
      </c>
    </row>
    <row r="61" spans="1:181" hidden="1">
      <c r="A61" s="83">
        <v>2412</v>
      </c>
      <c r="B61" s="83">
        <v>96</v>
      </c>
      <c r="C61" s="83">
        <v>12.14</v>
      </c>
      <c r="D61" s="83">
        <v>4.5599999999999996</v>
      </c>
      <c r="E61" s="83">
        <v>4.26</v>
      </c>
      <c r="F61" s="83">
        <v>2.1</v>
      </c>
      <c r="G61" s="83">
        <v>0.93421052599999999</v>
      </c>
      <c r="I61" s="83">
        <v>41.33</v>
      </c>
      <c r="J61" s="83">
        <v>186329</v>
      </c>
      <c r="K61" s="83">
        <v>94326</v>
      </c>
      <c r="L61" s="83">
        <v>92003</v>
      </c>
      <c r="M61" s="83">
        <v>0</v>
      </c>
      <c r="N61" s="83">
        <v>32340</v>
      </c>
      <c r="O61" s="83">
        <v>59663</v>
      </c>
      <c r="P61" s="83">
        <v>1445</v>
      </c>
      <c r="Q61" s="83">
        <v>218</v>
      </c>
      <c r="R61" s="83">
        <v>0</v>
      </c>
      <c r="S61" s="83">
        <v>0</v>
      </c>
      <c r="T61" s="83">
        <v>0</v>
      </c>
      <c r="U61" s="83">
        <v>0</v>
      </c>
      <c r="V61" s="83">
        <v>0</v>
      </c>
      <c r="W61" s="83">
        <v>767</v>
      </c>
      <c r="X61" s="83">
        <v>2431</v>
      </c>
      <c r="Y61" s="83">
        <v>1</v>
      </c>
      <c r="Z61" s="83">
        <v>0</v>
      </c>
      <c r="AA61" s="83">
        <v>0</v>
      </c>
      <c r="AB61" s="83">
        <v>607</v>
      </c>
      <c r="AC61" s="83">
        <v>84</v>
      </c>
      <c r="AD61" s="83">
        <v>58</v>
      </c>
      <c r="AE61" s="83">
        <v>19</v>
      </c>
      <c r="AF61" s="83">
        <v>228</v>
      </c>
      <c r="AG61" s="83">
        <v>997</v>
      </c>
      <c r="AH61" s="83">
        <v>1434</v>
      </c>
      <c r="AI61" s="83">
        <v>61096</v>
      </c>
      <c r="AJ61" s="83">
        <v>12847</v>
      </c>
      <c r="AK61" s="83">
        <v>48249</v>
      </c>
      <c r="AL61" s="83">
        <v>0</v>
      </c>
      <c r="AM61" s="83">
        <v>0</v>
      </c>
      <c r="AN61" s="83">
        <v>0</v>
      </c>
      <c r="AO61" s="83">
        <v>48249</v>
      </c>
      <c r="AP61" s="83">
        <v>4.5599999999999996</v>
      </c>
      <c r="AQ61" s="83">
        <v>105778</v>
      </c>
      <c r="AR61" s="83">
        <v>0</v>
      </c>
      <c r="AS61" s="83">
        <v>74753</v>
      </c>
      <c r="AT61" s="83">
        <v>18589</v>
      </c>
      <c r="AU61" s="83">
        <v>10682</v>
      </c>
      <c r="AV61" s="83">
        <v>4883</v>
      </c>
      <c r="AW61" s="83">
        <v>0</v>
      </c>
      <c r="AX61" s="83">
        <v>2794</v>
      </c>
      <c r="AY61" s="83" t="s">
        <v>86</v>
      </c>
      <c r="AZ61" s="83">
        <v>970</v>
      </c>
      <c r="BA61" s="83">
        <v>2639</v>
      </c>
      <c r="BB61" s="83">
        <v>115310</v>
      </c>
      <c r="BC61" s="83">
        <v>8001</v>
      </c>
      <c r="BD61" s="83">
        <v>101340</v>
      </c>
      <c r="BE61" s="83">
        <v>62140</v>
      </c>
      <c r="BF61" s="83">
        <v>653833</v>
      </c>
      <c r="BG61" s="83">
        <v>11970</v>
      </c>
      <c r="BH61" s="83">
        <v>5823</v>
      </c>
      <c r="BI61" s="83">
        <v>-522054</v>
      </c>
      <c r="BJ61" s="83">
        <v>0</v>
      </c>
      <c r="BK61" s="83">
        <v>16451</v>
      </c>
      <c r="BL61" s="83">
        <v>329503</v>
      </c>
      <c r="BM61" s="83">
        <v>1186</v>
      </c>
      <c r="BN61" s="83">
        <v>8572</v>
      </c>
      <c r="BO61" s="83">
        <v>2663</v>
      </c>
      <c r="BP61" s="83">
        <v>12421</v>
      </c>
      <c r="BQ61" s="83">
        <v>465234</v>
      </c>
      <c r="BR61" s="83">
        <v>0</v>
      </c>
      <c r="BS61" s="83">
        <v>0</v>
      </c>
      <c r="BT61" s="83">
        <v>10989</v>
      </c>
      <c r="BU61" s="83">
        <v>14957</v>
      </c>
      <c r="BV61" s="83">
        <v>5037</v>
      </c>
      <c r="BW61" s="83">
        <v>16726</v>
      </c>
      <c r="BX61" s="83">
        <v>6961</v>
      </c>
      <c r="BY61" s="83">
        <v>0</v>
      </c>
      <c r="BZ61" s="83">
        <v>2926</v>
      </c>
      <c r="CA61" s="83">
        <v>57597</v>
      </c>
      <c r="CB61" s="83">
        <v>0</v>
      </c>
      <c r="CC61" s="83">
        <v>1505</v>
      </c>
      <c r="CD61" s="83">
        <v>3912</v>
      </c>
      <c r="CE61" s="83">
        <v>0</v>
      </c>
      <c r="CF61" s="83">
        <v>95</v>
      </c>
      <c r="CG61" s="83">
        <v>0</v>
      </c>
      <c r="CH61" s="83">
        <v>7057</v>
      </c>
      <c r="CI61" s="83">
        <v>12570</v>
      </c>
      <c r="CJ61" s="83">
        <v>70166</v>
      </c>
      <c r="CK61" s="83">
        <v>395068</v>
      </c>
      <c r="CL61" s="83">
        <v>96678</v>
      </c>
      <c r="CM61" s="83">
        <v>0</v>
      </c>
      <c r="CN61" s="83">
        <v>206429</v>
      </c>
      <c r="CO61" s="83">
        <v>48036</v>
      </c>
      <c r="CP61" s="83">
        <v>2679</v>
      </c>
      <c r="CQ61" s="83">
        <v>48318</v>
      </c>
      <c r="CR61" s="83">
        <v>38</v>
      </c>
      <c r="CS61" s="83">
        <v>465234</v>
      </c>
      <c r="CT61" s="83">
        <v>49.38</v>
      </c>
      <c r="CU61" s="83">
        <v>32.020000000000003</v>
      </c>
      <c r="CV61" s="83">
        <v>32.79</v>
      </c>
      <c r="CW61" s="83">
        <v>25.89</v>
      </c>
      <c r="CX61" s="83">
        <v>41.33</v>
      </c>
      <c r="CY61" s="83">
        <v>19.5</v>
      </c>
      <c r="CZ61" s="83">
        <v>6.24</v>
      </c>
      <c r="DA61" s="83">
        <v>5.78</v>
      </c>
      <c r="DB61" s="83">
        <v>12.14</v>
      </c>
      <c r="DC61" s="83">
        <v>10.42</v>
      </c>
      <c r="DD61" s="83">
        <v>4.5599999999999996</v>
      </c>
      <c r="DE61" s="83">
        <v>1.05</v>
      </c>
      <c r="DF61" s="83">
        <v>4.2699999999999996</v>
      </c>
      <c r="DG61" s="83">
        <v>5.99</v>
      </c>
      <c r="DH61" s="83">
        <v>7.48</v>
      </c>
      <c r="DI61" s="83">
        <v>0.92</v>
      </c>
      <c r="DJ61" s="83">
        <v>-1.24</v>
      </c>
      <c r="DK61" s="83">
        <v>-5.92</v>
      </c>
      <c r="DL61" s="83">
        <v>200.2</v>
      </c>
      <c r="DM61" s="83">
        <v>189.08</v>
      </c>
      <c r="DN61" s="83">
        <v>15.08</v>
      </c>
      <c r="DO61" s="83">
        <v>0.84918127200000004</v>
      </c>
      <c r="DP61" s="83">
        <v>0</v>
      </c>
      <c r="DQ61" s="83">
        <v>72219.05</v>
      </c>
      <c r="DR61" s="83">
        <v>16.010000000000002</v>
      </c>
      <c r="DS61" s="83">
        <v>22.798251090000001</v>
      </c>
      <c r="DT61" s="83">
        <v>37.92</v>
      </c>
      <c r="DU61" s="83">
        <v>9.6255274259999997</v>
      </c>
      <c r="DV61" s="83">
        <v>0.55000000000000004</v>
      </c>
      <c r="DW61" s="83">
        <v>0.4</v>
      </c>
      <c r="DX61" s="83">
        <v>7719</v>
      </c>
      <c r="DY61" s="83">
        <v>0.47</v>
      </c>
      <c r="DZ61" s="83">
        <v>17.760000000000002</v>
      </c>
      <c r="EA61" s="83">
        <v>119.9</v>
      </c>
      <c r="EB61" s="83">
        <v>1.7197797000000001E-2</v>
      </c>
      <c r="EC61" s="83">
        <v>2.7246593999999999E-2</v>
      </c>
      <c r="ED61" s="83">
        <v>6.6304762989999997</v>
      </c>
      <c r="EE61" s="83">
        <v>48249</v>
      </c>
      <c r="EF61" s="83">
        <v>39658</v>
      </c>
      <c r="EG61" s="83">
        <v>0</v>
      </c>
      <c r="EH61" s="83">
        <v>-218</v>
      </c>
      <c r="EI61" s="83">
        <v>0</v>
      </c>
      <c r="EJ61" s="83">
        <v>107</v>
      </c>
      <c r="EK61" s="83">
        <v>0</v>
      </c>
      <c r="EL61" s="83">
        <v>84</v>
      </c>
      <c r="EM61" s="83">
        <v>514</v>
      </c>
      <c r="EN61" s="83">
        <v>2658</v>
      </c>
      <c r="EO61" s="83">
        <v>1905</v>
      </c>
      <c r="EP61" s="83">
        <v>-614</v>
      </c>
      <c r="EQ61" s="83">
        <v>1017</v>
      </c>
      <c r="ER61" s="83">
        <v>-6090</v>
      </c>
      <c r="ES61" s="83">
        <v>87271</v>
      </c>
      <c r="ET61" s="83">
        <v>-10959</v>
      </c>
      <c r="EU61" s="83">
        <v>0</v>
      </c>
      <c r="EV61" s="83">
        <v>-3606</v>
      </c>
      <c r="EW61" s="83">
        <v>106</v>
      </c>
      <c r="EX61" s="83">
        <v>-24910</v>
      </c>
      <c r="EY61" s="83">
        <v>-233</v>
      </c>
      <c r="EZ61" s="83">
        <v>-39602</v>
      </c>
      <c r="FA61" s="83">
        <v>0</v>
      </c>
      <c r="FB61" s="83">
        <v>-34611</v>
      </c>
      <c r="FC61" s="83">
        <v>-1293</v>
      </c>
      <c r="FD61" s="83">
        <v>0</v>
      </c>
      <c r="FE61" s="83">
        <v>-300</v>
      </c>
      <c r="FF61" s="83">
        <v>0</v>
      </c>
      <c r="FG61" s="83">
        <v>0</v>
      </c>
      <c r="FH61" s="83">
        <v>-7218</v>
      </c>
      <c r="FI61" s="83">
        <v>-134</v>
      </c>
      <c r="FJ61" s="83">
        <v>-43555</v>
      </c>
      <c r="FK61" s="83">
        <v>0</v>
      </c>
      <c r="FL61" s="83">
        <v>4113</v>
      </c>
      <c r="FM61" s="83">
        <v>70639</v>
      </c>
      <c r="FN61" s="83">
        <v>74753</v>
      </c>
      <c r="FO61" s="83">
        <v>1</v>
      </c>
      <c r="FP61" s="83">
        <v>15217</v>
      </c>
      <c r="FQ61" s="83">
        <v>47669</v>
      </c>
      <c r="FR61" s="83">
        <v>67.599999999999994</v>
      </c>
      <c r="FS61" s="83">
        <v>50.7</v>
      </c>
      <c r="FT61" s="83">
        <v>145.38182810000001</v>
      </c>
      <c r="FU61" s="83">
        <v>97</v>
      </c>
      <c r="FV61" s="83">
        <v>783738</v>
      </c>
      <c r="FW61" s="83">
        <v>546173</v>
      </c>
      <c r="FX61" s="83">
        <v>16</v>
      </c>
      <c r="FY61" s="83">
        <v>12</v>
      </c>
    </row>
    <row r="62" spans="1:181" hidden="1">
      <c r="A62" s="83">
        <v>2412</v>
      </c>
      <c r="B62" s="83">
        <v>95</v>
      </c>
      <c r="C62" s="83">
        <v>11.13</v>
      </c>
      <c r="D62" s="83">
        <v>4.63</v>
      </c>
      <c r="E62" s="83">
        <v>3.58</v>
      </c>
      <c r="F62" s="83">
        <v>1</v>
      </c>
      <c r="G62" s="83">
        <v>0.77321814300000002</v>
      </c>
      <c r="I62" s="83">
        <v>41.38</v>
      </c>
      <c r="J62" s="83">
        <v>184387</v>
      </c>
      <c r="K62" s="83">
        <v>94269</v>
      </c>
      <c r="L62" s="83">
        <v>90118</v>
      </c>
      <c r="M62" s="83">
        <v>0</v>
      </c>
      <c r="N62" s="83">
        <v>32898</v>
      </c>
      <c r="O62" s="83">
        <v>57220</v>
      </c>
      <c r="P62" s="83">
        <v>804</v>
      </c>
      <c r="Q62" s="83">
        <v>60</v>
      </c>
      <c r="R62" s="83">
        <v>135</v>
      </c>
      <c r="S62" s="83">
        <v>0</v>
      </c>
      <c r="T62" s="83">
        <v>537</v>
      </c>
      <c r="U62" s="83">
        <v>0</v>
      </c>
      <c r="V62" s="83">
        <v>0</v>
      </c>
      <c r="W62" s="83">
        <v>2998</v>
      </c>
      <c r="X62" s="83">
        <v>4533</v>
      </c>
      <c r="Y62" s="83">
        <v>4</v>
      </c>
      <c r="Z62" s="83">
        <v>0</v>
      </c>
      <c r="AA62" s="83">
        <v>0</v>
      </c>
      <c r="AB62" s="83">
        <v>21</v>
      </c>
      <c r="AC62" s="83">
        <v>267</v>
      </c>
      <c r="AD62" s="83">
        <v>165</v>
      </c>
      <c r="AE62" s="83">
        <v>1</v>
      </c>
      <c r="AF62" s="83">
        <v>3653</v>
      </c>
      <c r="AG62" s="83">
        <v>4110</v>
      </c>
      <c r="AH62" s="83">
        <v>423</v>
      </c>
      <c r="AI62" s="83">
        <v>57643</v>
      </c>
      <c r="AJ62" s="83">
        <v>12752</v>
      </c>
      <c r="AK62" s="83">
        <v>44891</v>
      </c>
      <c r="AL62" s="83">
        <v>0</v>
      </c>
      <c r="AM62" s="83">
        <v>0</v>
      </c>
      <c r="AN62" s="83">
        <v>0</v>
      </c>
      <c r="AO62" s="83">
        <v>44891</v>
      </c>
      <c r="AP62" s="83">
        <v>4.63</v>
      </c>
      <c r="AQ62" s="83">
        <v>97041</v>
      </c>
      <c r="AR62" s="83">
        <v>0</v>
      </c>
      <c r="AS62" s="83">
        <v>70639</v>
      </c>
      <c r="AT62" s="83">
        <v>7010</v>
      </c>
      <c r="AU62" s="83">
        <v>12587</v>
      </c>
      <c r="AV62" s="83">
        <v>5176</v>
      </c>
      <c r="AW62" s="83">
        <v>0</v>
      </c>
      <c r="AX62" s="83">
        <v>2181</v>
      </c>
      <c r="AY62" s="83" t="s">
        <v>86</v>
      </c>
      <c r="AZ62" s="83">
        <v>905</v>
      </c>
      <c r="BA62" s="83">
        <v>954</v>
      </c>
      <c r="BB62" s="83">
        <v>99452</v>
      </c>
      <c r="BC62" s="83">
        <v>5966</v>
      </c>
      <c r="BD62" s="83">
        <v>100937</v>
      </c>
      <c r="BE62" s="83">
        <v>59012</v>
      </c>
      <c r="BF62" s="83">
        <v>21388</v>
      </c>
      <c r="BG62" s="83">
        <v>639183</v>
      </c>
      <c r="BH62" s="83">
        <v>5824</v>
      </c>
      <c r="BI62" s="83">
        <v>-506730</v>
      </c>
      <c r="BJ62" s="83">
        <v>0</v>
      </c>
      <c r="BK62" s="83">
        <v>23488</v>
      </c>
      <c r="BL62" s="83">
        <v>343103</v>
      </c>
      <c r="BM62" s="83">
        <v>514</v>
      </c>
      <c r="BN62" s="83">
        <v>9192</v>
      </c>
      <c r="BO62" s="83">
        <v>2755</v>
      </c>
      <c r="BP62" s="83">
        <v>12462</v>
      </c>
      <c r="BQ62" s="83">
        <v>460983</v>
      </c>
      <c r="BR62" s="83">
        <v>0</v>
      </c>
      <c r="BS62" s="83">
        <v>0</v>
      </c>
      <c r="BT62" s="83">
        <v>9972</v>
      </c>
      <c r="BU62" s="83">
        <v>18797</v>
      </c>
      <c r="BV62" s="83">
        <v>4532</v>
      </c>
      <c r="BW62" s="83">
        <v>7696</v>
      </c>
      <c r="BX62" s="83">
        <v>8528</v>
      </c>
      <c r="BY62" s="83">
        <v>300</v>
      </c>
      <c r="BZ62" s="83">
        <v>1680</v>
      </c>
      <c r="CA62" s="83">
        <v>51505</v>
      </c>
      <c r="CB62" s="83">
        <v>0</v>
      </c>
      <c r="CC62" s="83">
        <v>955</v>
      </c>
      <c r="CD62" s="83">
        <v>1254</v>
      </c>
      <c r="CE62" s="83">
        <v>0</v>
      </c>
      <c r="CF62" s="83">
        <v>95</v>
      </c>
      <c r="CG62" s="83">
        <v>0</v>
      </c>
      <c r="CH62" s="83">
        <v>7157</v>
      </c>
      <c r="CI62" s="83">
        <v>9461</v>
      </c>
      <c r="CJ62" s="83">
        <v>60967</v>
      </c>
      <c r="CK62" s="83">
        <v>400017</v>
      </c>
      <c r="CL62" s="83">
        <v>96678</v>
      </c>
      <c r="CM62" s="83">
        <v>0</v>
      </c>
      <c r="CN62" s="83">
        <v>216098</v>
      </c>
      <c r="CO62" s="83">
        <v>44038</v>
      </c>
      <c r="CP62" s="83">
        <v>2680</v>
      </c>
      <c r="CQ62" s="83">
        <v>39984</v>
      </c>
      <c r="CR62" s="83">
        <v>541</v>
      </c>
      <c r="CS62" s="83">
        <v>460983</v>
      </c>
      <c r="CT62" s="83">
        <v>48.87</v>
      </c>
      <c r="CU62" s="83">
        <v>31.03</v>
      </c>
      <c r="CV62" s="83">
        <v>31.26</v>
      </c>
      <c r="CW62" s="83">
        <v>24.35</v>
      </c>
      <c r="CX62" s="83">
        <v>41.38</v>
      </c>
      <c r="CY62" s="83">
        <v>19.07</v>
      </c>
      <c r="CZ62" s="83">
        <v>5.92</v>
      </c>
      <c r="DA62" s="83">
        <v>5.94</v>
      </c>
      <c r="DB62" s="83">
        <v>11.13</v>
      </c>
      <c r="DC62" s="83">
        <v>9.76</v>
      </c>
      <c r="DD62" s="83">
        <v>4.63</v>
      </c>
      <c r="DE62" s="83">
        <v>0.55000000000000004</v>
      </c>
      <c r="DF62" s="83">
        <v>-2.2999999999999998</v>
      </c>
      <c r="DG62" s="83">
        <v>-3.29</v>
      </c>
      <c r="DH62" s="83">
        <v>-5.8</v>
      </c>
      <c r="DI62" s="83">
        <v>0.45</v>
      </c>
      <c r="DJ62" s="83">
        <v>-1.69</v>
      </c>
      <c r="DK62" s="83">
        <v>-6.64</v>
      </c>
      <c r="DL62" s="83">
        <v>193.09</v>
      </c>
      <c r="DM62" s="83">
        <v>185.25</v>
      </c>
      <c r="DN62" s="83">
        <v>13.23</v>
      </c>
      <c r="DO62" s="83">
        <v>0.86774783499999997</v>
      </c>
      <c r="DP62" s="83">
        <v>0</v>
      </c>
      <c r="DQ62" s="83">
        <v>14157.02</v>
      </c>
      <c r="DR62" s="83">
        <v>14.7</v>
      </c>
      <c r="DS62" s="83">
        <v>24.829931970000001</v>
      </c>
      <c r="DT62" s="83">
        <v>43.84</v>
      </c>
      <c r="DU62" s="83">
        <v>8.3257299269999994</v>
      </c>
      <c r="DV62" s="83">
        <v>0.52</v>
      </c>
      <c r="DW62" s="83">
        <v>0.4</v>
      </c>
      <c r="DX62" s="83">
        <v>7127</v>
      </c>
      <c r="DY62" s="83">
        <v>0.46</v>
      </c>
      <c r="DZ62" s="83">
        <v>15.24</v>
      </c>
      <c r="EA62" s="83">
        <v>116.59</v>
      </c>
      <c r="EB62" s="83">
        <v>1.2941909E-2</v>
      </c>
      <c r="EC62" s="83">
        <v>1.005699E-2</v>
      </c>
      <c r="ED62" s="83">
        <v>7.5611888399999998</v>
      </c>
      <c r="EE62" s="83">
        <v>44891</v>
      </c>
      <c r="EF62" s="83">
        <v>41010</v>
      </c>
      <c r="EG62" s="83">
        <v>0</v>
      </c>
      <c r="EH62" s="83">
        <v>-60</v>
      </c>
      <c r="EI62" s="83">
        <v>0</v>
      </c>
      <c r="EJ62" s="83">
        <v>42</v>
      </c>
      <c r="EK62" s="83">
        <v>0</v>
      </c>
      <c r="EL62" s="83">
        <v>-270</v>
      </c>
      <c r="EM62" s="83">
        <v>-115</v>
      </c>
      <c r="EN62" s="83">
        <v>1254</v>
      </c>
      <c r="EO62" s="83">
        <v>-80</v>
      </c>
      <c r="EP62" s="83">
        <v>-60</v>
      </c>
      <c r="EQ62" s="83">
        <v>-360</v>
      </c>
      <c r="ER62" s="83">
        <v>14542</v>
      </c>
      <c r="ES62" s="83">
        <v>100795</v>
      </c>
      <c r="ET62" s="83">
        <v>8325</v>
      </c>
      <c r="EU62" s="83">
        <v>0</v>
      </c>
      <c r="EV62" s="83">
        <v>-558</v>
      </c>
      <c r="EW62" s="83">
        <v>779</v>
      </c>
      <c r="EX62" s="83">
        <v>-27676</v>
      </c>
      <c r="EY62" s="83">
        <v>-68</v>
      </c>
      <c r="EZ62" s="83">
        <v>-19198</v>
      </c>
      <c r="FA62" s="83">
        <v>0</v>
      </c>
      <c r="FB62" s="83">
        <v>-40660</v>
      </c>
      <c r="FC62" s="83">
        <v>-245</v>
      </c>
      <c r="FD62" s="83">
        <v>0</v>
      </c>
      <c r="FE62" s="83">
        <v>-200</v>
      </c>
      <c r="FF62" s="83">
        <v>0</v>
      </c>
      <c r="FG62" s="83">
        <v>0</v>
      </c>
      <c r="FH62" s="83">
        <v>-11392</v>
      </c>
      <c r="FI62" s="83">
        <v>-350</v>
      </c>
      <c r="FJ62" s="83">
        <v>-52848</v>
      </c>
      <c r="FK62" s="83">
        <v>0</v>
      </c>
      <c r="FL62" s="83">
        <v>28749</v>
      </c>
      <c r="FM62" s="83">
        <v>41891</v>
      </c>
      <c r="FN62" s="83">
        <v>70639</v>
      </c>
      <c r="FO62" s="83">
        <v>4</v>
      </c>
      <c r="FP62" s="83">
        <v>1287</v>
      </c>
      <c r="FQ62" s="83">
        <v>81597</v>
      </c>
      <c r="FR62" s="83">
        <v>62.3</v>
      </c>
      <c r="FS62" s="83">
        <v>53.5</v>
      </c>
      <c r="FT62" s="83">
        <v>163.50001090000001</v>
      </c>
      <c r="FU62" s="83">
        <v>96</v>
      </c>
      <c r="FV62" s="83">
        <v>684870</v>
      </c>
      <c r="FW62" s="83">
        <v>542366</v>
      </c>
      <c r="FX62" s="83">
        <v>14</v>
      </c>
      <c r="FY62" s="83">
        <v>12</v>
      </c>
    </row>
    <row r="63" spans="1:181" hidden="1">
      <c r="A63" s="83">
        <v>2412</v>
      </c>
      <c r="B63" s="83">
        <v>94</v>
      </c>
      <c r="C63" s="83">
        <v>12.44</v>
      </c>
      <c r="D63" s="83">
        <v>4.9400000000000004</v>
      </c>
      <c r="E63" s="83">
        <v>4.3</v>
      </c>
      <c r="F63" s="83">
        <v>0.2</v>
      </c>
      <c r="G63" s="83">
        <v>0.87044534399999995</v>
      </c>
      <c r="I63" s="83">
        <v>42.18</v>
      </c>
      <c r="J63" s="83">
        <v>183382</v>
      </c>
      <c r="K63" s="83">
        <v>93941</v>
      </c>
      <c r="L63" s="83">
        <v>89440</v>
      </c>
      <c r="M63" s="83">
        <v>0</v>
      </c>
      <c r="N63" s="83">
        <v>30876</v>
      </c>
      <c r="O63" s="83">
        <v>58564</v>
      </c>
      <c r="P63" s="83">
        <v>451</v>
      </c>
      <c r="Q63" s="83">
        <v>219</v>
      </c>
      <c r="R63" s="83">
        <v>163</v>
      </c>
      <c r="S63" s="83">
        <v>0</v>
      </c>
      <c r="T63" s="83">
        <v>107</v>
      </c>
      <c r="U63" s="83">
        <v>0</v>
      </c>
      <c r="V63" s="83">
        <v>135</v>
      </c>
      <c r="W63" s="83">
        <v>2685</v>
      </c>
      <c r="X63" s="83">
        <v>3760</v>
      </c>
      <c r="Y63" s="83">
        <v>2</v>
      </c>
      <c r="Z63" s="83">
        <v>0</v>
      </c>
      <c r="AA63" s="83">
        <v>0</v>
      </c>
      <c r="AB63" s="83">
        <v>740</v>
      </c>
      <c r="AC63" s="83">
        <v>66</v>
      </c>
      <c r="AD63" s="83">
        <v>0</v>
      </c>
      <c r="AE63" s="83">
        <v>0</v>
      </c>
      <c r="AF63" s="83">
        <v>1914</v>
      </c>
      <c r="AG63" s="83">
        <v>2722</v>
      </c>
      <c r="AH63" s="83">
        <v>1038</v>
      </c>
      <c r="AI63" s="83">
        <v>59603</v>
      </c>
      <c r="AJ63" s="83">
        <v>11950</v>
      </c>
      <c r="AK63" s="83">
        <v>47653</v>
      </c>
      <c r="AL63" s="83">
        <v>0</v>
      </c>
      <c r="AM63" s="83">
        <v>0</v>
      </c>
      <c r="AN63" s="83">
        <v>0</v>
      </c>
      <c r="AO63" s="83">
        <v>47653</v>
      </c>
      <c r="AP63" s="83">
        <v>4.9400000000000004</v>
      </c>
      <c r="AQ63" s="83">
        <v>96477</v>
      </c>
      <c r="AR63" s="83">
        <v>0</v>
      </c>
      <c r="AS63" s="83">
        <v>41891</v>
      </c>
      <c r="AT63" s="83">
        <v>14102</v>
      </c>
      <c r="AU63" s="83">
        <v>12507</v>
      </c>
      <c r="AV63" s="83">
        <v>5707</v>
      </c>
      <c r="AW63" s="83">
        <v>0</v>
      </c>
      <c r="AX63" s="83">
        <v>2120</v>
      </c>
      <c r="AY63" s="83" t="s">
        <v>86</v>
      </c>
      <c r="AZ63" s="83">
        <v>947</v>
      </c>
      <c r="BA63" s="83">
        <v>2621</v>
      </c>
      <c r="BB63" s="83">
        <v>79896</v>
      </c>
      <c r="BC63" s="83">
        <v>5891</v>
      </c>
      <c r="BD63" s="83">
        <v>101785</v>
      </c>
      <c r="BE63" s="83">
        <v>57451</v>
      </c>
      <c r="BF63" s="83">
        <v>21754</v>
      </c>
      <c r="BG63" s="83">
        <v>631130</v>
      </c>
      <c r="BH63" s="83">
        <v>5946</v>
      </c>
      <c r="BI63" s="83">
        <v>-485064</v>
      </c>
      <c r="BJ63" s="83">
        <v>0</v>
      </c>
      <c r="BK63" s="83">
        <v>27881</v>
      </c>
      <c r="BL63" s="83">
        <v>360882</v>
      </c>
      <c r="BM63" s="83">
        <v>86</v>
      </c>
      <c r="BN63" s="83">
        <v>9915</v>
      </c>
      <c r="BO63" s="83">
        <v>2232</v>
      </c>
      <c r="BP63" s="83">
        <v>12233</v>
      </c>
      <c r="BQ63" s="83">
        <v>458903</v>
      </c>
      <c r="BR63" s="83">
        <v>0</v>
      </c>
      <c r="BS63" s="83">
        <v>0</v>
      </c>
      <c r="BT63" s="83">
        <v>10332</v>
      </c>
      <c r="BU63" s="83">
        <v>15527</v>
      </c>
      <c r="BV63" s="83">
        <v>4750</v>
      </c>
      <c r="BW63" s="83">
        <v>10730</v>
      </c>
      <c r="BX63" s="83">
        <v>17</v>
      </c>
      <c r="BY63" s="83">
        <v>200</v>
      </c>
      <c r="BZ63" s="83">
        <v>2127</v>
      </c>
      <c r="CA63" s="83">
        <v>43682</v>
      </c>
      <c r="CB63" s="83">
        <v>300</v>
      </c>
      <c r="CC63" s="83">
        <v>319</v>
      </c>
      <c r="CD63" s="83">
        <v>0</v>
      </c>
      <c r="CE63" s="83">
        <v>0</v>
      </c>
      <c r="CF63" s="83">
        <v>95</v>
      </c>
      <c r="CG63" s="83">
        <v>0</v>
      </c>
      <c r="CH63" s="83">
        <v>7599</v>
      </c>
      <c r="CI63" s="83">
        <v>8013</v>
      </c>
      <c r="CJ63" s="83">
        <v>51994</v>
      </c>
      <c r="CK63" s="83">
        <v>406908</v>
      </c>
      <c r="CL63" s="83">
        <v>96477</v>
      </c>
      <c r="CM63" s="83">
        <v>0</v>
      </c>
      <c r="CN63" s="83">
        <v>220394</v>
      </c>
      <c r="CO63" s="83">
        <v>39272</v>
      </c>
      <c r="CP63" s="83">
        <v>2680</v>
      </c>
      <c r="CQ63" s="83">
        <v>48088</v>
      </c>
      <c r="CR63" s="83">
        <v>0</v>
      </c>
      <c r="CS63" s="83">
        <v>458903</v>
      </c>
      <c r="CT63" s="83">
        <v>48.77</v>
      </c>
      <c r="CU63" s="83">
        <v>31.94</v>
      </c>
      <c r="CV63" s="83">
        <v>32.5</v>
      </c>
      <c r="CW63" s="83">
        <v>25.99</v>
      </c>
      <c r="CX63" s="83">
        <v>42.18</v>
      </c>
      <c r="CY63" s="83">
        <v>19.010000000000002</v>
      </c>
      <c r="CZ63" s="83">
        <v>6.07</v>
      </c>
      <c r="DA63" s="83">
        <v>6.18</v>
      </c>
      <c r="DB63" s="83">
        <v>12.44</v>
      </c>
      <c r="DC63" s="83">
        <v>10.29</v>
      </c>
      <c r="DD63" s="83">
        <v>4.9400000000000004</v>
      </c>
      <c r="DE63" s="83">
        <v>0.45</v>
      </c>
      <c r="DF63" s="83">
        <v>-1.83</v>
      </c>
      <c r="DG63" s="83">
        <v>-1.89</v>
      </c>
      <c r="DH63" s="83">
        <v>-4.43</v>
      </c>
      <c r="DI63" s="83">
        <v>-1.76</v>
      </c>
      <c r="DJ63" s="83">
        <v>13.3</v>
      </c>
      <c r="DK63" s="83">
        <v>-6.83</v>
      </c>
      <c r="DL63" s="83">
        <v>182.9</v>
      </c>
      <c r="DM63" s="83">
        <v>169.88</v>
      </c>
      <c r="DN63" s="83">
        <v>11.33</v>
      </c>
      <c r="DO63" s="83">
        <v>0.88669718900000005</v>
      </c>
      <c r="DP63" s="83">
        <v>6.2955110000000002E-3</v>
      </c>
      <c r="DQ63" s="83">
        <v>29817.33</v>
      </c>
      <c r="DR63" s="83">
        <v>14.07</v>
      </c>
      <c r="DS63" s="83">
        <v>25.941719970000001</v>
      </c>
      <c r="DT63" s="83">
        <v>52.78</v>
      </c>
      <c r="DU63" s="83">
        <v>6.9154982949999999</v>
      </c>
      <c r="DV63" s="83">
        <v>0.5</v>
      </c>
      <c r="DW63" s="83">
        <v>0.4</v>
      </c>
      <c r="DX63" s="83">
        <v>6696</v>
      </c>
      <c r="DY63" s="83">
        <v>0.48</v>
      </c>
      <c r="DZ63" s="83">
        <v>12.78</v>
      </c>
      <c r="EA63" s="83">
        <v>112.84</v>
      </c>
      <c r="EB63" s="83">
        <v>1.2837136000000001E-2</v>
      </c>
      <c r="EC63" s="83">
        <v>3.7175352000000002E-2</v>
      </c>
      <c r="ED63" s="83">
        <v>8.8260760860000005</v>
      </c>
      <c r="EE63" s="83">
        <v>47653</v>
      </c>
      <c r="EF63" s="83">
        <v>41575</v>
      </c>
      <c r="EG63" s="83">
        <v>0</v>
      </c>
      <c r="EH63" s="83">
        <v>-160</v>
      </c>
      <c r="EI63" s="83">
        <v>0</v>
      </c>
      <c r="EJ63" s="83">
        <v>66</v>
      </c>
      <c r="EK63" s="83">
        <v>-175</v>
      </c>
      <c r="EL63" s="83">
        <v>-41</v>
      </c>
      <c r="EM63" s="83">
        <v>740</v>
      </c>
      <c r="EN63" s="83">
        <v>-773</v>
      </c>
      <c r="EO63" s="83">
        <v>1048</v>
      </c>
      <c r="EP63" s="83">
        <v>-681</v>
      </c>
      <c r="EQ63" s="83">
        <v>-4151</v>
      </c>
      <c r="ER63" s="83">
        <v>2341</v>
      </c>
      <c r="ES63" s="83">
        <v>87440</v>
      </c>
      <c r="ET63" s="83">
        <v>-4812</v>
      </c>
      <c r="EU63" s="83">
        <v>0</v>
      </c>
      <c r="EV63" s="83">
        <v>-500</v>
      </c>
      <c r="EW63" s="83">
        <v>374</v>
      </c>
      <c r="EX63" s="83">
        <v>-22930</v>
      </c>
      <c r="EY63" s="83">
        <v>-411</v>
      </c>
      <c r="EZ63" s="83">
        <v>-28280</v>
      </c>
      <c r="FA63" s="83">
        <v>0</v>
      </c>
      <c r="FB63" s="83">
        <v>-45344</v>
      </c>
      <c r="FC63" s="83">
        <v>0</v>
      </c>
      <c r="FD63" s="83">
        <v>0</v>
      </c>
      <c r="FE63" s="83">
        <v>-200</v>
      </c>
      <c r="FF63" s="83">
        <v>0</v>
      </c>
      <c r="FG63" s="83">
        <v>0</v>
      </c>
      <c r="FH63" s="83">
        <v>0</v>
      </c>
      <c r="FI63" s="83">
        <v>-1008</v>
      </c>
      <c r="FJ63" s="83">
        <v>-46552</v>
      </c>
      <c r="FK63" s="83">
        <v>0</v>
      </c>
      <c r="FL63" s="83">
        <v>12608</v>
      </c>
      <c r="FM63" s="83">
        <v>29283</v>
      </c>
      <c r="FN63" s="83">
        <v>41891</v>
      </c>
      <c r="FO63" s="83">
        <v>2</v>
      </c>
      <c r="FP63" s="83">
        <v>11419</v>
      </c>
      <c r="FQ63" s="83">
        <v>59160</v>
      </c>
      <c r="FR63" s="83">
        <v>66.099999999999994</v>
      </c>
      <c r="FS63" s="83">
        <v>55</v>
      </c>
      <c r="FT63" s="83">
        <v>171.07001109999999</v>
      </c>
      <c r="FU63" s="83">
        <v>95</v>
      </c>
      <c r="FV63" s="83">
        <v>598159</v>
      </c>
      <c r="FW63" s="83">
        <v>519163</v>
      </c>
      <c r="FX63" s="83">
        <v>13</v>
      </c>
      <c r="FY63" s="83">
        <v>11</v>
      </c>
    </row>
    <row r="64" spans="1:181" hidden="1">
      <c r="A64" s="83">
        <v>2412</v>
      </c>
      <c r="B64" s="83">
        <v>93</v>
      </c>
      <c r="C64" s="83">
        <v>13.97</v>
      </c>
      <c r="D64" s="83">
        <v>5.17</v>
      </c>
      <c r="E64" s="83">
        <v>4.7</v>
      </c>
      <c r="F64" s="83">
        <v>0</v>
      </c>
      <c r="G64" s="83">
        <v>0.909090909</v>
      </c>
      <c r="I64" s="83">
        <v>37.229999999999997</v>
      </c>
      <c r="J64" s="83">
        <v>182563</v>
      </c>
      <c r="K64" s="83">
        <v>92960</v>
      </c>
      <c r="L64" s="83">
        <v>89603</v>
      </c>
      <c r="M64" s="83">
        <v>0</v>
      </c>
      <c r="N64" s="83">
        <v>29949</v>
      </c>
      <c r="O64" s="83">
        <v>59654</v>
      </c>
      <c r="P64" s="83">
        <v>223</v>
      </c>
      <c r="Q64" s="83">
        <v>99</v>
      </c>
      <c r="R64" s="83">
        <v>34</v>
      </c>
      <c r="S64" s="83">
        <v>0</v>
      </c>
      <c r="T64" s="83">
        <v>17</v>
      </c>
      <c r="U64" s="83">
        <v>0</v>
      </c>
      <c r="V64" s="83">
        <v>141</v>
      </c>
      <c r="W64" s="83">
        <v>2228</v>
      </c>
      <c r="X64" s="83">
        <v>2743</v>
      </c>
      <c r="Y64" s="83">
        <v>4</v>
      </c>
      <c r="Z64" s="83">
        <v>0</v>
      </c>
      <c r="AA64" s="83">
        <v>0</v>
      </c>
      <c r="AB64" s="83">
        <v>0</v>
      </c>
      <c r="AC64" s="83">
        <v>186</v>
      </c>
      <c r="AD64" s="83">
        <v>0</v>
      </c>
      <c r="AE64" s="83">
        <v>0</v>
      </c>
      <c r="AF64" s="83">
        <v>1453</v>
      </c>
      <c r="AG64" s="83">
        <v>1644</v>
      </c>
      <c r="AH64" s="83">
        <v>1099</v>
      </c>
      <c r="AI64" s="83">
        <v>60753</v>
      </c>
      <c r="AJ64" s="83">
        <v>10889</v>
      </c>
      <c r="AK64" s="83">
        <v>49863</v>
      </c>
      <c r="AL64" s="83">
        <v>0</v>
      </c>
      <c r="AM64" s="83">
        <v>0</v>
      </c>
      <c r="AN64" s="83">
        <v>0</v>
      </c>
      <c r="AO64" s="83">
        <v>49863</v>
      </c>
      <c r="AP64" s="83">
        <v>5.17</v>
      </c>
      <c r="AQ64" s="83">
        <v>96477</v>
      </c>
      <c r="AR64" s="83">
        <v>0</v>
      </c>
      <c r="AS64" s="83">
        <v>29283</v>
      </c>
      <c r="AT64" s="83">
        <v>9115</v>
      </c>
      <c r="AU64" s="83">
        <v>13555</v>
      </c>
      <c r="AV64" s="83">
        <v>1516</v>
      </c>
      <c r="AW64" s="83">
        <v>0</v>
      </c>
      <c r="AX64" s="83">
        <v>1439</v>
      </c>
      <c r="AY64" s="83" t="s">
        <v>86</v>
      </c>
      <c r="AZ64" s="83">
        <v>479</v>
      </c>
      <c r="BA64" s="83">
        <v>12475</v>
      </c>
      <c r="BB64" s="83">
        <v>67862</v>
      </c>
      <c r="BC64" s="83">
        <v>6035</v>
      </c>
      <c r="BD64" s="83">
        <v>101836</v>
      </c>
      <c r="BE64" s="83">
        <v>56051</v>
      </c>
      <c r="BF64" s="83">
        <v>21661</v>
      </c>
      <c r="BG64" s="83">
        <v>624502</v>
      </c>
      <c r="BH64" s="83">
        <v>5951</v>
      </c>
      <c r="BI64" s="83">
        <v>-461798</v>
      </c>
      <c r="BJ64" s="83">
        <v>0</v>
      </c>
      <c r="BK64" s="83">
        <v>31280</v>
      </c>
      <c r="BL64" s="83">
        <v>379483</v>
      </c>
      <c r="BM64" s="83">
        <v>0</v>
      </c>
      <c r="BN64" s="83">
        <v>11630</v>
      </c>
      <c r="BO64" s="83">
        <v>2127</v>
      </c>
      <c r="BP64" s="83">
        <v>13757</v>
      </c>
      <c r="BQ64" s="83">
        <v>467137</v>
      </c>
      <c r="BR64" s="83">
        <v>0</v>
      </c>
      <c r="BS64" s="83">
        <v>0</v>
      </c>
      <c r="BT64" s="83">
        <v>14484</v>
      </c>
      <c r="BU64" s="83">
        <v>14332</v>
      </c>
      <c r="BV64" s="83">
        <v>3897</v>
      </c>
      <c r="BW64" s="83">
        <v>58365</v>
      </c>
      <c r="BX64" s="83">
        <v>5030</v>
      </c>
      <c r="BY64" s="83">
        <v>200</v>
      </c>
      <c r="BZ64" s="83">
        <v>4226</v>
      </c>
      <c r="CA64" s="83">
        <v>100533</v>
      </c>
      <c r="CB64" s="83">
        <v>500</v>
      </c>
      <c r="CC64" s="83">
        <v>361</v>
      </c>
      <c r="CD64" s="83">
        <v>0</v>
      </c>
      <c r="CE64" s="83">
        <v>0</v>
      </c>
      <c r="CF64" s="83">
        <v>211</v>
      </c>
      <c r="CG64" s="83">
        <v>0</v>
      </c>
      <c r="CH64" s="83">
        <v>6380</v>
      </c>
      <c r="CI64" s="83">
        <v>6952</v>
      </c>
      <c r="CJ64" s="83">
        <v>107985</v>
      </c>
      <c r="CK64" s="83">
        <v>359152</v>
      </c>
      <c r="CL64" s="83">
        <v>96477</v>
      </c>
      <c r="CM64" s="83">
        <v>0</v>
      </c>
      <c r="CN64" s="83">
        <v>220292</v>
      </c>
      <c r="CO64" s="83">
        <v>39272</v>
      </c>
      <c r="CP64" s="83">
        <v>2680</v>
      </c>
      <c r="CQ64" s="83">
        <v>435</v>
      </c>
      <c r="CR64" s="83">
        <v>0</v>
      </c>
      <c r="CS64" s="83">
        <v>467137</v>
      </c>
      <c r="CT64" s="83">
        <v>49.08</v>
      </c>
      <c r="CU64" s="83">
        <v>32.68</v>
      </c>
      <c r="CV64" s="83">
        <v>33.28</v>
      </c>
      <c r="CW64" s="83">
        <v>27.31</v>
      </c>
      <c r="CX64" s="83">
        <v>37.229999999999997</v>
      </c>
      <c r="CY64" s="83">
        <v>18.920000000000002</v>
      </c>
      <c r="CZ64" s="83">
        <v>6.18</v>
      </c>
      <c r="DA64" s="83">
        <v>6.3</v>
      </c>
      <c r="DB64" s="83">
        <v>13.97</v>
      </c>
      <c r="DC64" s="83">
        <v>10.75</v>
      </c>
      <c r="DD64" s="83">
        <v>5.17</v>
      </c>
      <c r="DE64" s="83">
        <v>1.91</v>
      </c>
      <c r="DF64" s="83">
        <v>2.2599999999999998</v>
      </c>
      <c r="DG64" s="83">
        <v>3.18</v>
      </c>
      <c r="DH64" s="83">
        <v>2.81</v>
      </c>
      <c r="DI64" s="83">
        <v>1.37</v>
      </c>
      <c r="DJ64" s="83">
        <v>1.27</v>
      </c>
      <c r="DK64" s="83">
        <v>-6.39</v>
      </c>
      <c r="DL64" s="83">
        <v>67.5</v>
      </c>
      <c r="DM64" s="83">
        <v>53.19</v>
      </c>
      <c r="DN64" s="83">
        <v>23.12</v>
      </c>
      <c r="DO64" s="83">
        <v>0.76883655100000003</v>
      </c>
      <c r="DP64" s="83">
        <v>1.0027474999999999E-2</v>
      </c>
      <c r="DQ64" s="83">
        <v>13656.32</v>
      </c>
      <c r="DR64" s="83">
        <v>13.26</v>
      </c>
      <c r="DS64" s="83">
        <v>27.526395170000001</v>
      </c>
      <c r="DT64" s="83">
        <v>69.94</v>
      </c>
      <c r="DU64" s="83">
        <v>5.2187589360000004</v>
      </c>
      <c r="DV64" s="83">
        <v>0.47</v>
      </c>
      <c r="DW64" s="83">
        <v>0.39</v>
      </c>
      <c r="DX64" s="83">
        <v>6400</v>
      </c>
      <c r="DY64" s="83">
        <v>0.51</v>
      </c>
      <c r="DZ64" s="83">
        <v>30.07</v>
      </c>
      <c r="EA64" s="83">
        <v>94.77</v>
      </c>
      <c r="EB64" s="83">
        <v>1.2919122E-2</v>
      </c>
      <c r="EC64" s="83">
        <v>1.6404307999999999E-2</v>
      </c>
      <c r="ED64" s="83">
        <v>4.3259434179999996</v>
      </c>
      <c r="EE64" s="83">
        <v>49863</v>
      </c>
      <c r="EF64" s="83">
        <v>41123</v>
      </c>
      <c r="EG64" s="83">
        <v>0</v>
      </c>
      <c r="EH64" s="83">
        <v>-70</v>
      </c>
      <c r="EI64" s="83">
        <v>0</v>
      </c>
      <c r="EJ64" s="83">
        <v>56</v>
      </c>
      <c r="EK64" s="83">
        <v>-22</v>
      </c>
      <c r="EL64" s="83">
        <v>169</v>
      </c>
      <c r="EM64" s="83">
        <v>0</v>
      </c>
      <c r="EN64" s="83">
        <v>-2408</v>
      </c>
      <c r="EO64" s="83">
        <v>427</v>
      </c>
      <c r="EP64" s="83">
        <v>-220</v>
      </c>
      <c r="EQ64" s="83">
        <v>2771</v>
      </c>
      <c r="ER64" s="83">
        <v>1591</v>
      </c>
      <c r="ES64" s="83">
        <v>93282</v>
      </c>
      <c r="ET64" s="83">
        <v>-9093</v>
      </c>
      <c r="EU64" s="83">
        <v>0</v>
      </c>
      <c r="EV64" s="83">
        <v>-529</v>
      </c>
      <c r="EW64" s="83">
        <v>214</v>
      </c>
      <c r="EX64" s="83">
        <v>-22889</v>
      </c>
      <c r="EY64" s="83">
        <v>621</v>
      </c>
      <c r="EZ64" s="83">
        <v>-31677</v>
      </c>
      <c r="FA64" s="83">
        <v>0</v>
      </c>
      <c r="FB64" s="83">
        <v>-43415</v>
      </c>
      <c r="FC64" s="83">
        <v>0</v>
      </c>
      <c r="FD64" s="83">
        <v>0</v>
      </c>
      <c r="FE64" s="83">
        <v>0</v>
      </c>
      <c r="FF64" s="83">
        <v>0</v>
      </c>
      <c r="FG64" s="83">
        <v>0</v>
      </c>
      <c r="FH64" s="83">
        <v>0</v>
      </c>
      <c r="FI64" s="83">
        <v>-2461</v>
      </c>
      <c r="FJ64" s="83">
        <v>-45876</v>
      </c>
      <c r="FK64" s="83">
        <v>0</v>
      </c>
      <c r="FL64" s="83">
        <v>15730</v>
      </c>
      <c r="FM64" s="83">
        <v>13553</v>
      </c>
      <c r="FN64" s="83">
        <v>29283</v>
      </c>
      <c r="FO64" s="83">
        <v>4</v>
      </c>
      <c r="FP64" s="83">
        <v>10993</v>
      </c>
      <c r="FQ64" s="83">
        <v>61605</v>
      </c>
      <c r="FR64" s="83">
        <v>64</v>
      </c>
      <c r="FS64" s="83">
        <v>49.4</v>
      </c>
      <c r="FT64" s="83">
        <v>175.7700111</v>
      </c>
      <c r="FU64" s="83">
        <v>94</v>
      </c>
      <c r="FV64" s="83">
        <v>636750</v>
      </c>
      <c r="FW64" s="83">
        <v>541237</v>
      </c>
      <c r="FX64" s="83">
        <v>13</v>
      </c>
      <c r="FY64" s="83">
        <v>11</v>
      </c>
    </row>
    <row r="65" spans="1:181" hidden="1">
      <c r="A65" s="83" t="s">
        <v>0</v>
      </c>
      <c r="B65" s="83">
        <v>2330</v>
      </c>
      <c r="C65" s="83" t="s">
        <v>254</v>
      </c>
      <c r="E65" s="83" t="s">
        <v>1</v>
      </c>
      <c r="F65" s="83" t="s">
        <v>260</v>
      </c>
    </row>
    <row r="66" spans="1:181" hidden="1">
      <c r="A66" s="83">
        <v>2330</v>
      </c>
      <c r="B66" s="83">
        <v>100</v>
      </c>
      <c r="C66" s="83">
        <v>22.3</v>
      </c>
      <c r="D66" s="83">
        <v>5.18</v>
      </c>
      <c r="E66" s="83">
        <v>2.9994807099999998</v>
      </c>
      <c r="F66" s="83">
        <v>0</v>
      </c>
      <c r="G66" s="83">
        <v>0.57905032999999995</v>
      </c>
      <c r="H66" s="83">
        <v>0.46461645099999999</v>
      </c>
      <c r="I66" s="83">
        <v>24.29</v>
      </c>
      <c r="J66" s="83">
        <v>418245</v>
      </c>
      <c r="K66" s="83">
        <v>233083</v>
      </c>
      <c r="L66" s="83">
        <v>185162</v>
      </c>
      <c r="M66" s="83">
        <v>398</v>
      </c>
      <c r="N66" s="83">
        <v>46655</v>
      </c>
      <c r="O66" s="83">
        <v>138906</v>
      </c>
      <c r="P66" s="83">
        <v>697</v>
      </c>
      <c r="Q66" s="83">
        <v>3778</v>
      </c>
      <c r="R66" s="83">
        <v>0</v>
      </c>
      <c r="S66" s="83">
        <v>801</v>
      </c>
      <c r="T66" s="83">
        <v>0</v>
      </c>
      <c r="U66" s="83">
        <v>0</v>
      </c>
      <c r="V66" s="83">
        <v>0</v>
      </c>
      <c r="W66" s="83">
        <v>2011</v>
      </c>
      <c r="X66" s="83">
        <v>7287</v>
      </c>
      <c r="Y66" s="83">
        <v>446</v>
      </c>
      <c r="Z66" s="83">
        <v>0</v>
      </c>
      <c r="AA66" s="83">
        <v>0</v>
      </c>
      <c r="AB66" s="83">
        <v>0</v>
      </c>
      <c r="AC66" s="83">
        <v>203</v>
      </c>
      <c r="AD66" s="83">
        <v>673</v>
      </c>
      <c r="AE66" s="83">
        <v>0</v>
      </c>
      <c r="AF66" s="83">
        <v>163</v>
      </c>
      <c r="AG66" s="83">
        <v>1485</v>
      </c>
      <c r="AH66" s="83">
        <v>5802</v>
      </c>
      <c r="AI66" s="83">
        <v>144708</v>
      </c>
      <c r="AJ66" s="83">
        <v>10507</v>
      </c>
      <c r="AK66" s="83">
        <v>134201</v>
      </c>
      <c r="AL66" s="83">
        <v>0</v>
      </c>
      <c r="AM66" s="83">
        <v>0</v>
      </c>
      <c r="AN66" s="83">
        <v>0</v>
      </c>
      <c r="AO66" s="83">
        <v>134201</v>
      </c>
      <c r="AP66" s="83">
        <v>5.18</v>
      </c>
      <c r="AQ66" s="83">
        <v>259141</v>
      </c>
      <c r="AR66" s="83">
        <v>0</v>
      </c>
      <c r="AS66" s="83">
        <v>85263</v>
      </c>
      <c r="AT66" s="83">
        <v>3333</v>
      </c>
      <c r="AU66" s="83">
        <v>39299</v>
      </c>
      <c r="AV66" s="83">
        <v>188</v>
      </c>
      <c r="AW66" s="83">
        <v>0</v>
      </c>
      <c r="AX66" s="83">
        <v>22853</v>
      </c>
      <c r="AY66" s="83" t="s">
        <v>86</v>
      </c>
      <c r="AZ66" s="83">
        <v>0</v>
      </c>
      <c r="BA66" s="83">
        <v>7627</v>
      </c>
      <c r="BB66" s="83">
        <v>158563</v>
      </c>
      <c r="BC66" s="83">
        <v>129401</v>
      </c>
      <c r="BD66" s="83">
        <v>0</v>
      </c>
      <c r="BE66" s="83">
        <v>149495</v>
      </c>
      <c r="BF66" s="83">
        <v>984979</v>
      </c>
      <c r="BG66" s="83">
        <v>13824</v>
      </c>
      <c r="BH66" s="83">
        <v>0</v>
      </c>
      <c r="BI66" s="83">
        <v>-804741</v>
      </c>
      <c r="BJ66" s="83">
        <v>0</v>
      </c>
      <c r="BK66" s="83">
        <v>110816</v>
      </c>
      <c r="BL66" s="83">
        <v>454374</v>
      </c>
      <c r="BM66" s="83">
        <v>7222</v>
      </c>
      <c r="BN66" s="83">
        <v>1568</v>
      </c>
      <c r="BO66" s="83">
        <v>10281</v>
      </c>
      <c r="BP66" s="83">
        <v>19070</v>
      </c>
      <c r="BQ66" s="83">
        <v>761408</v>
      </c>
      <c r="BR66" s="83">
        <v>25927</v>
      </c>
      <c r="BS66" s="83">
        <v>0</v>
      </c>
      <c r="BT66" s="83">
        <v>12515</v>
      </c>
      <c r="BU66" s="83">
        <v>16732</v>
      </c>
      <c r="BV66" s="83">
        <v>939</v>
      </c>
      <c r="BW66" s="83">
        <v>33812</v>
      </c>
      <c r="BX66" s="83">
        <v>10648</v>
      </c>
      <c r="BY66" s="83">
        <v>4500</v>
      </c>
      <c r="BZ66" s="83">
        <v>4442</v>
      </c>
      <c r="CA66" s="83">
        <v>109514</v>
      </c>
      <c r="CB66" s="83">
        <v>18000</v>
      </c>
      <c r="CC66" s="83">
        <v>0</v>
      </c>
      <c r="CD66" s="83">
        <v>3861</v>
      </c>
      <c r="CE66" s="83">
        <v>0</v>
      </c>
      <c r="CF66" s="83">
        <v>0</v>
      </c>
      <c r="CG66" s="83">
        <v>0</v>
      </c>
      <c r="CH66" s="83">
        <v>439</v>
      </c>
      <c r="CI66" s="83">
        <v>4300</v>
      </c>
      <c r="CJ66" s="83">
        <v>131814</v>
      </c>
      <c r="CK66" s="83">
        <v>629594</v>
      </c>
      <c r="CL66" s="83">
        <v>259162</v>
      </c>
      <c r="CM66" s="83">
        <v>0</v>
      </c>
      <c r="CN66" s="83">
        <v>55846</v>
      </c>
      <c r="CO66" s="83">
        <v>102400</v>
      </c>
      <c r="CP66" s="83">
        <v>6434</v>
      </c>
      <c r="CQ66" s="83">
        <v>213357</v>
      </c>
      <c r="CR66" s="83">
        <v>-1173</v>
      </c>
      <c r="CS66" s="83">
        <v>761408</v>
      </c>
      <c r="CT66" s="83">
        <v>44.27</v>
      </c>
      <c r="CU66" s="83">
        <v>33.21</v>
      </c>
      <c r="CV66" s="83">
        <v>34.6</v>
      </c>
      <c r="CW66" s="83">
        <v>32.090000000000003</v>
      </c>
      <c r="CX66" s="83">
        <v>24.29</v>
      </c>
      <c r="CY66" s="83">
        <v>16.14</v>
      </c>
      <c r="CZ66" s="83">
        <v>5.36</v>
      </c>
      <c r="DA66" s="83">
        <v>5.58</v>
      </c>
      <c r="DB66" s="83">
        <v>22.3</v>
      </c>
      <c r="DC66" s="83">
        <v>18.399999999999999</v>
      </c>
      <c r="DD66" s="83">
        <v>5.18</v>
      </c>
      <c r="DE66" s="83">
        <v>2.77</v>
      </c>
      <c r="DF66" s="83">
        <v>-10.29</v>
      </c>
      <c r="DG66" s="83">
        <v>-14.52</v>
      </c>
      <c r="DH66" s="83">
        <v>-16.96</v>
      </c>
      <c r="DI66" s="83">
        <v>8.58</v>
      </c>
      <c r="DJ66" s="83">
        <v>9.66</v>
      </c>
      <c r="DK66" s="83">
        <v>23.86</v>
      </c>
      <c r="DL66" s="83">
        <v>144.79</v>
      </c>
      <c r="DM66" s="83">
        <v>116.96</v>
      </c>
      <c r="DN66" s="83">
        <v>17.309999999999999</v>
      </c>
      <c r="DO66" s="83">
        <v>0.82688125199999996</v>
      </c>
      <c r="DP66" s="83">
        <v>0.13412716699999999</v>
      </c>
      <c r="DQ66" s="83">
        <v>325.54000000000002</v>
      </c>
      <c r="DR66" s="83">
        <v>10.53</v>
      </c>
      <c r="DS66" s="83">
        <v>34.662868000000003</v>
      </c>
      <c r="DT66" s="83">
        <v>9.61</v>
      </c>
      <c r="DU66" s="83">
        <v>37.981269509999997</v>
      </c>
      <c r="DV66" s="83">
        <v>1.02</v>
      </c>
      <c r="DW66" s="83">
        <v>0.56999999999999995</v>
      </c>
      <c r="DX66" s="83">
        <v>13889</v>
      </c>
      <c r="DY66" s="83">
        <v>0.69</v>
      </c>
      <c r="DZ66" s="83">
        <v>20.94</v>
      </c>
      <c r="EA66" s="83">
        <v>142.52000000000001</v>
      </c>
      <c r="EB66" s="83">
        <v>0.16994962</v>
      </c>
      <c r="EC66" s="83">
        <v>2.9196065E-2</v>
      </c>
      <c r="ED66" s="83">
        <v>5.7763818709999999</v>
      </c>
      <c r="EE66" s="83">
        <v>134201</v>
      </c>
      <c r="EF66" s="83">
        <v>100773</v>
      </c>
      <c r="EG66" s="83">
        <v>2152</v>
      </c>
      <c r="EH66" s="83">
        <v>-3778</v>
      </c>
      <c r="EI66" s="83">
        <v>0</v>
      </c>
      <c r="EJ66" s="83">
        <v>2942</v>
      </c>
      <c r="EK66" s="83">
        <v>0</v>
      </c>
      <c r="EL66" s="83">
        <v>100</v>
      </c>
      <c r="EM66" s="83">
        <v>0</v>
      </c>
      <c r="EN66" s="83">
        <v>97</v>
      </c>
      <c r="EO66" s="83">
        <v>857</v>
      </c>
      <c r="EP66" s="83">
        <v>2793</v>
      </c>
      <c r="EQ66" s="83">
        <v>-618</v>
      </c>
      <c r="ER66" s="83">
        <v>-783</v>
      </c>
      <c r="ES66" s="83">
        <v>238735</v>
      </c>
      <c r="ET66" s="83">
        <v>1035</v>
      </c>
      <c r="EU66" s="83">
        <v>5109</v>
      </c>
      <c r="EV66" s="83">
        <v>-7391</v>
      </c>
      <c r="EW66" s="83">
        <v>4650</v>
      </c>
      <c r="EX66" s="83">
        <v>-202758</v>
      </c>
      <c r="EY66" s="83">
        <v>1246</v>
      </c>
      <c r="EZ66" s="83">
        <v>-198108</v>
      </c>
      <c r="FA66" s="83">
        <v>0</v>
      </c>
      <c r="FB66" s="83">
        <v>-77730</v>
      </c>
      <c r="FC66" s="83">
        <v>0</v>
      </c>
      <c r="FD66" s="83">
        <v>-4982</v>
      </c>
      <c r="FE66" s="83">
        <v>-719</v>
      </c>
      <c r="FF66" s="83">
        <v>18000</v>
      </c>
      <c r="FG66" s="83">
        <v>0</v>
      </c>
      <c r="FH66" s="83">
        <v>-72</v>
      </c>
      <c r="FI66" s="83">
        <v>627</v>
      </c>
      <c r="FJ66" s="83">
        <v>-64875</v>
      </c>
      <c r="FK66" s="83">
        <v>0</v>
      </c>
      <c r="FL66" s="83">
        <v>-24249</v>
      </c>
      <c r="FM66" s="83">
        <v>109511</v>
      </c>
      <c r="FN66" s="83">
        <v>85263</v>
      </c>
      <c r="FO66" s="83">
        <v>369</v>
      </c>
      <c r="FP66" s="83">
        <v>7454</v>
      </c>
      <c r="FQ66" s="83">
        <v>40627</v>
      </c>
      <c r="FR66" s="83">
        <v>78.3</v>
      </c>
      <c r="FS66" s="83">
        <v>62.2</v>
      </c>
      <c r="FT66" s="83">
        <v>74.299480709999997</v>
      </c>
      <c r="FU66" s="83">
        <v>101</v>
      </c>
      <c r="FV66" s="83">
        <v>2358785</v>
      </c>
      <c r="FW66" s="83">
        <v>1925575</v>
      </c>
      <c r="FX66" s="83">
        <v>18</v>
      </c>
      <c r="FY66" s="83">
        <v>14</v>
      </c>
    </row>
    <row r="67" spans="1:181" hidden="1">
      <c r="A67" s="83">
        <v>2330</v>
      </c>
      <c r="B67" s="83">
        <v>99</v>
      </c>
      <c r="C67" s="83">
        <v>30.23</v>
      </c>
      <c r="D67" s="83">
        <v>6.24</v>
      </c>
      <c r="E67" s="83">
        <v>2.9995132600000001</v>
      </c>
      <c r="F67" s="83">
        <v>0</v>
      </c>
      <c r="G67" s="83">
        <v>0.48069122800000003</v>
      </c>
      <c r="H67" s="83">
        <v>0.25907034299999998</v>
      </c>
      <c r="I67" s="83">
        <v>22.16</v>
      </c>
      <c r="J67" s="83">
        <v>406963</v>
      </c>
      <c r="K67" s="83">
        <v>209921</v>
      </c>
      <c r="L67" s="83">
        <v>197042</v>
      </c>
      <c r="M67" s="83">
        <v>-53</v>
      </c>
      <c r="N67" s="83">
        <v>42143</v>
      </c>
      <c r="O67" s="83">
        <v>154847</v>
      </c>
      <c r="P67" s="83">
        <v>764</v>
      </c>
      <c r="Q67" s="83">
        <v>7111</v>
      </c>
      <c r="R67" s="83">
        <v>0</v>
      </c>
      <c r="S67" s="83">
        <v>313</v>
      </c>
      <c r="T67" s="83">
        <v>0</v>
      </c>
      <c r="U67" s="83">
        <v>0</v>
      </c>
      <c r="V67" s="83">
        <v>0</v>
      </c>
      <c r="W67" s="83">
        <v>7720</v>
      </c>
      <c r="X67" s="83">
        <v>15908</v>
      </c>
      <c r="Y67" s="83">
        <v>215</v>
      </c>
      <c r="Z67" s="83">
        <v>0</v>
      </c>
      <c r="AA67" s="83">
        <v>0</v>
      </c>
      <c r="AB67" s="83">
        <v>0</v>
      </c>
      <c r="AC67" s="83">
        <v>839</v>
      </c>
      <c r="AD67" s="83">
        <v>59</v>
      </c>
      <c r="AE67" s="83">
        <v>0</v>
      </c>
      <c r="AF67" s="83">
        <v>352</v>
      </c>
      <c r="AG67" s="83">
        <v>1464</v>
      </c>
      <c r="AH67" s="83">
        <v>14444</v>
      </c>
      <c r="AI67" s="83">
        <v>169290</v>
      </c>
      <c r="AJ67" s="83">
        <v>7685</v>
      </c>
      <c r="AK67" s="83">
        <v>161605</v>
      </c>
      <c r="AL67" s="83">
        <v>0</v>
      </c>
      <c r="AM67" s="83">
        <v>0</v>
      </c>
      <c r="AN67" s="83">
        <v>0</v>
      </c>
      <c r="AO67" s="83">
        <v>161605</v>
      </c>
      <c r="AP67" s="83">
        <v>6.24</v>
      </c>
      <c r="AQ67" s="83">
        <v>259058</v>
      </c>
      <c r="AR67" s="83">
        <v>0</v>
      </c>
      <c r="AS67" s="83">
        <v>109511</v>
      </c>
      <c r="AT67" s="83">
        <v>8715</v>
      </c>
      <c r="AU67" s="83">
        <v>40155</v>
      </c>
      <c r="AV67" s="83">
        <v>1302</v>
      </c>
      <c r="AW67" s="83">
        <v>0</v>
      </c>
      <c r="AX67" s="83">
        <v>25646</v>
      </c>
      <c r="AY67" s="83" t="s">
        <v>86</v>
      </c>
      <c r="AZ67" s="83">
        <v>0</v>
      </c>
      <c r="BA67" s="83">
        <v>6904</v>
      </c>
      <c r="BB67" s="83">
        <v>192234</v>
      </c>
      <c r="BC67" s="83">
        <v>117914</v>
      </c>
      <c r="BD67" s="83">
        <v>0</v>
      </c>
      <c r="BE67" s="83">
        <v>128647</v>
      </c>
      <c r="BF67" s="83">
        <v>852734</v>
      </c>
      <c r="BG67" s="83">
        <v>11731</v>
      </c>
      <c r="BH67" s="83">
        <v>0</v>
      </c>
      <c r="BI67" s="83">
        <v>-706605</v>
      </c>
      <c r="BJ67" s="83">
        <v>0</v>
      </c>
      <c r="BK67" s="83">
        <v>80349</v>
      </c>
      <c r="BL67" s="83">
        <v>366854</v>
      </c>
      <c r="BM67" s="83">
        <v>7154</v>
      </c>
      <c r="BN67" s="83">
        <v>1568</v>
      </c>
      <c r="BO67" s="83">
        <v>15515</v>
      </c>
      <c r="BP67" s="83">
        <v>24237</v>
      </c>
      <c r="BQ67" s="83">
        <v>701240</v>
      </c>
      <c r="BR67" s="83">
        <v>30909</v>
      </c>
      <c r="BS67" s="83">
        <v>0</v>
      </c>
      <c r="BT67" s="83">
        <v>13134</v>
      </c>
      <c r="BU67" s="83">
        <v>18655</v>
      </c>
      <c r="BV67" s="83">
        <v>1059</v>
      </c>
      <c r="BW67" s="83">
        <v>41992</v>
      </c>
      <c r="BX67" s="83">
        <v>7109</v>
      </c>
      <c r="BY67" s="83">
        <v>719</v>
      </c>
      <c r="BZ67" s="83">
        <v>4446</v>
      </c>
      <c r="CA67" s="83">
        <v>118022</v>
      </c>
      <c r="CB67" s="83">
        <v>4500</v>
      </c>
      <c r="CC67" s="83">
        <v>0</v>
      </c>
      <c r="CD67" s="83">
        <v>3825</v>
      </c>
      <c r="CE67" s="83">
        <v>0</v>
      </c>
      <c r="CF67" s="83">
        <v>0</v>
      </c>
      <c r="CG67" s="83">
        <v>0</v>
      </c>
      <c r="CH67" s="83">
        <v>748</v>
      </c>
      <c r="CI67" s="83">
        <v>4572</v>
      </c>
      <c r="CJ67" s="83">
        <v>127095</v>
      </c>
      <c r="CK67" s="83">
        <v>574145</v>
      </c>
      <c r="CL67" s="83">
        <v>259101</v>
      </c>
      <c r="CM67" s="83">
        <v>0</v>
      </c>
      <c r="CN67" s="83">
        <v>55698</v>
      </c>
      <c r="CO67" s="83">
        <v>86239</v>
      </c>
      <c r="CP67" s="83">
        <v>1313</v>
      </c>
      <c r="CQ67" s="83">
        <v>178227</v>
      </c>
      <c r="CR67" s="83">
        <v>109</v>
      </c>
      <c r="CS67" s="83">
        <v>701240</v>
      </c>
      <c r="CT67" s="83">
        <v>48.42</v>
      </c>
      <c r="CU67" s="83">
        <v>38.049999999999997</v>
      </c>
      <c r="CV67" s="83">
        <v>41.6</v>
      </c>
      <c r="CW67" s="83">
        <v>39.71</v>
      </c>
      <c r="CX67" s="83">
        <v>22.16</v>
      </c>
      <c r="CY67" s="83">
        <v>15.71</v>
      </c>
      <c r="CZ67" s="83">
        <v>5.98</v>
      </c>
      <c r="DA67" s="83">
        <v>6.53</v>
      </c>
      <c r="DB67" s="83">
        <v>30.23</v>
      </c>
      <c r="DC67" s="83">
        <v>25.3</v>
      </c>
      <c r="DD67" s="83">
        <v>6.24</v>
      </c>
      <c r="DE67" s="83">
        <v>42.42</v>
      </c>
      <c r="DF67" s="83">
        <v>63.82</v>
      </c>
      <c r="DG67" s="83">
        <v>78.239999999999995</v>
      </c>
      <c r="DH67" s="83">
        <v>81.14</v>
      </c>
      <c r="DI67" s="83">
        <v>21.44</v>
      </c>
      <c r="DJ67" s="83">
        <v>15.97</v>
      </c>
      <c r="DK67" s="83">
        <v>44</v>
      </c>
      <c r="DL67" s="83">
        <v>162.88</v>
      </c>
      <c r="DM67" s="83">
        <v>135.30000000000001</v>
      </c>
      <c r="DN67" s="83">
        <v>18.12</v>
      </c>
      <c r="DO67" s="83">
        <v>0.81875677400000002</v>
      </c>
      <c r="DP67" s="83">
        <v>2.7845673000000001E-2</v>
      </c>
      <c r="DQ67" s="83">
        <v>789.71</v>
      </c>
      <c r="DR67" s="83">
        <v>11.06</v>
      </c>
      <c r="DS67" s="83">
        <v>33.001808320000002</v>
      </c>
      <c r="DT67" s="83">
        <v>9.44</v>
      </c>
      <c r="DU67" s="83">
        <v>38.665254240000003</v>
      </c>
      <c r="DV67" s="83">
        <v>1.31</v>
      </c>
      <c r="DW67" s="83">
        <v>0.64</v>
      </c>
      <c r="DX67" s="83">
        <v>13598</v>
      </c>
      <c r="DY67" s="83">
        <v>0.76</v>
      </c>
      <c r="DZ67" s="83">
        <v>22.14</v>
      </c>
      <c r="EA67" s="83">
        <v>157.72999999999999</v>
      </c>
      <c r="EB67" s="83">
        <v>0.16815070400000001</v>
      </c>
      <c r="EC67" s="83">
        <v>6.0306664000000003E-2</v>
      </c>
      <c r="ED67" s="83">
        <v>5.5174475789999997</v>
      </c>
      <c r="EE67" s="83">
        <v>161605</v>
      </c>
      <c r="EF67" s="83">
        <v>83366</v>
      </c>
      <c r="EG67" s="83">
        <v>0</v>
      </c>
      <c r="EH67" s="83">
        <v>-7111</v>
      </c>
      <c r="EI67" s="83">
        <v>0</v>
      </c>
      <c r="EJ67" s="83">
        <v>422</v>
      </c>
      <c r="EK67" s="83">
        <v>0</v>
      </c>
      <c r="EL67" s="83">
        <v>761</v>
      </c>
      <c r="EM67" s="83">
        <v>0</v>
      </c>
      <c r="EN67" s="83">
        <v>17</v>
      </c>
      <c r="EO67" s="83">
        <v>-6744</v>
      </c>
      <c r="EP67" s="83">
        <v>-6816</v>
      </c>
      <c r="EQ67" s="83">
        <v>1416</v>
      </c>
      <c r="ER67" s="83">
        <v>-4893</v>
      </c>
      <c r="ES67" s="83">
        <v>222023</v>
      </c>
      <c r="ET67" s="83">
        <v>0</v>
      </c>
      <c r="EU67" s="83">
        <v>15946</v>
      </c>
      <c r="EV67" s="83">
        <v>-8263</v>
      </c>
      <c r="EW67" s="83">
        <v>388</v>
      </c>
      <c r="EX67" s="83">
        <v>-182335</v>
      </c>
      <c r="EY67" s="83">
        <v>-8484</v>
      </c>
      <c r="EZ67" s="83">
        <v>-182747</v>
      </c>
      <c r="FA67" s="83">
        <v>0</v>
      </c>
      <c r="FB67" s="83">
        <v>-77708</v>
      </c>
      <c r="FC67" s="83">
        <v>0</v>
      </c>
      <c r="FD67" s="83">
        <v>30909</v>
      </c>
      <c r="FE67" s="83">
        <v>-467</v>
      </c>
      <c r="FF67" s="83">
        <v>0</v>
      </c>
      <c r="FG67" s="83">
        <v>0</v>
      </c>
      <c r="FH67" s="83">
        <v>0</v>
      </c>
      <c r="FI67" s="83">
        <v>458</v>
      </c>
      <c r="FJ67" s="83">
        <v>-46808</v>
      </c>
      <c r="FK67" s="83">
        <v>0</v>
      </c>
      <c r="FL67" s="83">
        <v>-7532</v>
      </c>
      <c r="FM67" s="83">
        <v>117044</v>
      </c>
      <c r="FN67" s="83">
        <v>109511</v>
      </c>
      <c r="FO67" s="83">
        <v>201</v>
      </c>
      <c r="FP67" s="83">
        <v>9640</v>
      </c>
      <c r="FQ67" s="83">
        <v>39276</v>
      </c>
      <c r="FR67" s="83">
        <v>75</v>
      </c>
      <c r="FS67" s="83">
        <v>57</v>
      </c>
      <c r="FT67" s="83">
        <v>77.298993969999998</v>
      </c>
      <c r="FU67" s="83">
        <v>100</v>
      </c>
      <c r="FV67" s="83">
        <v>2020773</v>
      </c>
      <c r="FW67" s="83">
        <v>1640368</v>
      </c>
      <c r="FX67" s="83">
        <v>14</v>
      </c>
      <c r="FY67" s="83">
        <v>10</v>
      </c>
    </row>
    <row r="68" spans="1:181" hidden="1">
      <c r="A68" s="83">
        <v>2330</v>
      </c>
      <c r="B68" s="83">
        <v>98</v>
      </c>
      <c r="C68" s="83">
        <v>18.37</v>
      </c>
      <c r="D68" s="83">
        <v>3.45</v>
      </c>
      <c r="E68" s="83">
        <v>2.99973242</v>
      </c>
      <c r="F68" s="83">
        <v>0</v>
      </c>
      <c r="G68" s="83">
        <v>0.86948765800000005</v>
      </c>
      <c r="H68" s="83">
        <v>0.184262869</v>
      </c>
      <c r="I68" s="83">
        <v>19.11</v>
      </c>
      <c r="J68" s="83">
        <v>285743</v>
      </c>
      <c r="K68" s="83">
        <v>159107</v>
      </c>
      <c r="L68" s="83">
        <v>126636</v>
      </c>
      <c r="M68" s="83">
        <v>-160</v>
      </c>
      <c r="N68" s="83">
        <v>31954</v>
      </c>
      <c r="O68" s="83">
        <v>94522</v>
      </c>
      <c r="P68" s="83">
        <v>1117</v>
      </c>
      <c r="Q68" s="83">
        <v>0</v>
      </c>
      <c r="R68" s="83">
        <v>53</v>
      </c>
      <c r="S68" s="83">
        <v>587</v>
      </c>
      <c r="T68" s="83">
        <v>0</v>
      </c>
      <c r="U68" s="83">
        <v>0</v>
      </c>
      <c r="V68" s="83">
        <v>0</v>
      </c>
      <c r="W68" s="83">
        <v>2364</v>
      </c>
      <c r="X68" s="83">
        <v>4122</v>
      </c>
      <c r="Y68" s="83">
        <v>142</v>
      </c>
      <c r="Z68" s="83">
        <v>2696</v>
      </c>
      <c r="AA68" s="83">
        <v>0</v>
      </c>
      <c r="AB68" s="83">
        <v>0</v>
      </c>
      <c r="AC68" s="83">
        <v>0</v>
      </c>
      <c r="AD68" s="83">
        <v>630</v>
      </c>
      <c r="AE68" s="83">
        <v>0</v>
      </c>
      <c r="AF68" s="83">
        <v>195</v>
      </c>
      <c r="AG68" s="83">
        <v>3663</v>
      </c>
      <c r="AH68" s="83">
        <v>459</v>
      </c>
      <c r="AI68" s="83">
        <v>94981</v>
      </c>
      <c r="AJ68" s="83">
        <v>5763</v>
      </c>
      <c r="AK68" s="83">
        <v>89218</v>
      </c>
      <c r="AL68" s="83">
        <v>0</v>
      </c>
      <c r="AM68" s="83">
        <v>0</v>
      </c>
      <c r="AN68" s="83">
        <v>0</v>
      </c>
      <c r="AO68" s="83">
        <v>89218</v>
      </c>
      <c r="AP68" s="83">
        <v>3.45</v>
      </c>
      <c r="AQ68" s="83">
        <v>258358</v>
      </c>
      <c r="AR68" s="83">
        <v>0</v>
      </c>
      <c r="AS68" s="83">
        <v>117044</v>
      </c>
      <c r="AT68" s="83">
        <v>10127</v>
      </c>
      <c r="AU68" s="83">
        <v>33412</v>
      </c>
      <c r="AV68" s="83">
        <v>246</v>
      </c>
      <c r="AW68" s="83">
        <v>0</v>
      </c>
      <c r="AX68" s="83">
        <v>18830</v>
      </c>
      <c r="AY68" s="83" t="s">
        <v>86</v>
      </c>
      <c r="AZ68" s="83">
        <v>0</v>
      </c>
      <c r="BA68" s="83">
        <v>6174</v>
      </c>
      <c r="BB68" s="83">
        <v>185832</v>
      </c>
      <c r="BC68" s="83">
        <v>118428</v>
      </c>
      <c r="BD68" s="83">
        <v>0</v>
      </c>
      <c r="BE68" s="83">
        <v>124522</v>
      </c>
      <c r="BF68" s="83">
        <v>713426</v>
      </c>
      <c r="BG68" s="83">
        <v>10781</v>
      </c>
      <c r="BH68" s="83">
        <v>0</v>
      </c>
      <c r="BI68" s="83">
        <v>-627764</v>
      </c>
      <c r="BJ68" s="83">
        <v>0</v>
      </c>
      <c r="BK68" s="83">
        <v>33787</v>
      </c>
      <c r="BL68" s="83">
        <v>254752</v>
      </c>
      <c r="BM68" s="83">
        <v>13655</v>
      </c>
      <c r="BN68" s="83">
        <v>1568</v>
      </c>
      <c r="BO68" s="83">
        <v>3193</v>
      </c>
      <c r="BP68" s="83">
        <v>18416</v>
      </c>
      <c r="BQ68" s="83">
        <v>577427</v>
      </c>
      <c r="BR68" s="83">
        <v>0</v>
      </c>
      <c r="BS68" s="83">
        <v>0</v>
      </c>
      <c r="BT68" s="83">
        <v>11718</v>
      </c>
      <c r="BU68" s="83">
        <v>21298</v>
      </c>
      <c r="BV68" s="83">
        <v>1268</v>
      </c>
      <c r="BW68" s="83">
        <v>28757</v>
      </c>
      <c r="BX68" s="83">
        <v>8761</v>
      </c>
      <c r="BY68" s="83">
        <v>769</v>
      </c>
      <c r="BZ68" s="83">
        <v>0</v>
      </c>
      <c r="CA68" s="83">
        <v>72571</v>
      </c>
      <c r="CB68" s="83">
        <v>4916</v>
      </c>
      <c r="CC68" s="83">
        <v>48</v>
      </c>
      <c r="CD68" s="83">
        <v>3807</v>
      </c>
      <c r="CE68" s="83">
        <v>0</v>
      </c>
      <c r="CF68" s="83">
        <v>0</v>
      </c>
      <c r="CG68" s="83">
        <v>0</v>
      </c>
      <c r="CH68" s="83">
        <v>1001</v>
      </c>
      <c r="CI68" s="83">
        <v>4856</v>
      </c>
      <c r="CJ68" s="83">
        <v>82344</v>
      </c>
      <c r="CK68" s="83">
        <v>495083</v>
      </c>
      <c r="CL68" s="83">
        <v>259027</v>
      </c>
      <c r="CM68" s="83">
        <v>0</v>
      </c>
      <c r="CN68" s="83">
        <v>55486</v>
      </c>
      <c r="CO68" s="83">
        <v>77318</v>
      </c>
      <c r="CP68" s="83">
        <v>0</v>
      </c>
      <c r="CQ68" s="83">
        <v>104565</v>
      </c>
      <c r="CR68" s="83">
        <v>454</v>
      </c>
      <c r="CS68" s="83">
        <v>577427</v>
      </c>
      <c r="CT68" s="83">
        <v>44.32</v>
      </c>
      <c r="CU68" s="83">
        <v>33.08</v>
      </c>
      <c r="CV68" s="83">
        <v>33.24</v>
      </c>
      <c r="CW68" s="83">
        <v>31.22</v>
      </c>
      <c r="CX68" s="83">
        <v>19.11</v>
      </c>
      <c r="CY68" s="83">
        <v>11.03</v>
      </c>
      <c r="CZ68" s="83">
        <v>3.65</v>
      </c>
      <c r="DA68" s="83">
        <v>3.68</v>
      </c>
      <c r="DB68" s="83">
        <v>18.37</v>
      </c>
      <c r="DC68" s="83">
        <v>15.98</v>
      </c>
      <c r="DD68" s="83">
        <v>3.45</v>
      </c>
      <c r="DE68" s="83">
        <v>-11.2</v>
      </c>
      <c r="DF68" s="83">
        <v>-11.07</v>
      </c>
      <c r="DG68" s="83">
        <v>-14.25</v>
      </c>
      <c r="DH68" s="83">
        <v>-10.72</v>
      </c>
      <c r="DI68" s="83">
        <v>6.82</v>
      </c>
      <c r="DJ68" s="83">
        <v>3.93</v>
      </c>
      <c r="DK68" s="83">
        <v>16.18</v>
      </c>
      <c r="DL68" s="83">
        <v>256.07</v>
      </c>
      <c r="DM68" s="83">
        <v>221.61</v>
      </c>
      <c r="DN68" s="83">
        <v>14.26</v>
      </c>
      <c r="DO68" s="83">
        <v>0.85739496100000001</v>
      </c>
      <c r="DP68" s="83">
        <v>5.5100989000000003E-2</v>
      </c>
      <c r="DQ68" s="83">
        <v>669.76</v>
      </c>
      <c r="DR68" s="83">
        <v>11.37</v>
      </c>
      <c r="DS68" s="83">
        <v>32.102022869999999</v>
      </c>
      <c r="DT68" s="83">
        <v>10.06</v>
      </c>
      <c r="DU68" s="83">
        <v>36.282306159999997</v>
      </c>
      <c r="DV68" s="83">
        <v>1.21</v>
      </c>
      <c r="DW68" s="83">
        <v>0.51</v>
      </c>
      <c r="DX68" s="83">
        <v>12818</v>
      </c>
      <c r="DY68" s="83">
        <v>0.59</v>
      </c>
      <c r="DZ68" s="83">
        <v>16.63</v>
      </c>
      <c r="EA68" s="83">
        <v>196.27</v>
      </c>
      <c r="EB68" s="83">
        <v>0.205096055</v>
      </c>
      <c r="EC68" s="83">
        <v>0</v>
      </c>
      <c r="ED68" s="83">
        <v>7.0123749149999997</v>
      </c>
      <c r="EE68" s="83">
        <v>89218</v>
      </c>
      <c r="EF68" s="83">
        <v>74328</v>
      </c>
      <c r="EG68" s="83">
        <v>0</v>
      </c>
      <c r="EH68" s="83">
        <v>0</v>
      </c>
      <c r="EI68" s="83">
        <v>2696</v>
      </c>
      <c r="EJ68" s="83">
        <v>1403</v>
      </c>
      <c r="EK68" s="83">
        <v>0</v>
      </c>
      <c r="EL68" s="83">
        <v>-139</v>
      </c>
      <c r="EM68" s="83">
        <v>-53</v>
      </c>
      <c r="EN68" s="83">
        <v>97</v>
      </c>
      <c r="EO68" s="83">
        <v>-16548</v>
      </c>
      <c r="EP68" s="83">
        <v>-6022</v>
      </c>
      <c r="EQ68" s="83">
        <v>6202</v>
      </c>
      <c r="ER68" s="83">
        <v>4721</v>
      </c>
      <c r="ES68" s="83">
        <v>155902</v>
      </c>
      <c r="ET68" s="83">
        <v>1037</v>
      </c>
      <c r="EU68" s="83">
        <v>6338</v>
      </c>
      <c r="EV68" s="83">
        <v>-320</v>
      </c>
      <c r="EW68" s="83">
        <v>72</v>
      </c>
      <c r="EX68" s="83">
        <v>-86971</v>
      </c>
      <c r="EY68" s="83">
        <v>-12129</v>
      </c>
      <c r="EZ68" s="83">
        <v>-91973</v>
      </c>
      <c r="FA68" s="83">
        <v>0</v>
      </c>
      <c r="FB68" s="83">
        <v>-76876</v>
      </c>
      <c r="FC68" s="83">
        <v>0</v>
      </c>
      <c r="FD68" s="83">
        <v>0</v>
      </c>
      <c r="FE68" s="83">
        <v>-772</v>
      </c>
      <c r="FF68" s="83">
        <v>0</v>
      </c>
      <c r="FG68" s="83">
        <v>-8000</v>
      </c>
      <c r="FH68" s="83">
        <v>0</v>
      </c>
      <c r="FI68" s="83">
        <v>555</v>
      </c>
      <c r="FJ68" s="83">
        <v>-85094</v>
      </c>
      <c r="FK68" s="83">
        <v>0</v>
      </c>
      <c r="FL68" s="83">
        <v>-21165</v>
      </c>
      <c r="FM68" s="83">
        <v>138208</v>
      </c>
      <c r="FN68" s="83">
        <v>117044</v>
      </c>
      <c r="FO68" s="83">
        <v>352</v>
      </c>
      <c r="FP68" s="83">
        <v>7791</v>
      </c>
      <c r="FQ68" s="83">
        <v>63929</v>
      </c>
      <c r="FR68" s="83">
        <v>65.2</v>
      </c>
      <c r="FS68" s="83">
        <v>38.700000000000003</v>
      </c>
      <c r="FT68" s="83">
        <v>80.298726389999999</v>
      </c>
      <c r="FU68" s="83">
        <v>99</v>
      </c>
      <c r="FV68" s="83">
        <v>1888476</v>
      </c>
      <c r="FW68" s="83">
        <v>1481518</v>
      </c>
      <c r="FX68" s="83">
        <v>24</v>
      </c>
      <c r="FY68" s="83">
        <v>11</v>
      </c>
    </row>
    <row r="69" spans="1:181" hidden="1">
      <c r="A69" s="83">
        <v>2330</v>
      </c>
      <c r="B69" s="83">
        <v>97</v>
      </c>
      <c r="C69" s="83">
        <v>20.74</v>
      </c>
      <c r="D69" s="83">
        <v>3.86</v>
      </c>
      <c r="E69" s="83">
        <v>2.9998924100000002</v>
      </c>
      <c r="F69" s="83">
        <v>4.9998207000000003E-2</v>
      </c>
      <c r="G69" s="83">
        <v>0.77717419899999995</v>
      </c>
      <c r="H69" s="83">
        <v>9.8206868000000003E-2</v>
      </c>
      <c r="I69" s="83">
        <v>18.59</v>
      </c>
      <c r="J69" s="83">
        <v>321767</v>
      </c>
      <c r="K69" s="83">
        <v>183590</v>
      </c>
      <c r="L69" s="83">
        <v>138178</v>
      </c>
      <c r="M69" s="83">
        <v>0</v>
      </c>
      <c r="N69" s="83">
        <v>31887</v>
      </c>
      <c r="O69" s="83">
        <v>106290</v>
      </c>
      <c r="P69" s="83">
        <v>2729</v>
      </c>
      <c r="Q69" s="83">
        <v>73</v>
      </c>
      <c r="R69" s="83">
        <v>452</v>
      </c>
      <c r="S69" s="83">
        <v>0</v>
      </c>
      <c r="T69" s="83">
        <v>299</v>
      </c>
      <c r="U69" s="83">
        <v>0</v>
      </c>
      <c r="V69" s="83">
        <v>1113</v>
      </c>
      <c r="W69" s="83">
        <v>2060</v>
      </c>
      <c r="X69" s="83">
        <v>6726</v>
      </c>
      <c r="Y69" s="83">
        <v>355</v>
      </c>
      <c r="Z69" s="83">
        <v>0</v>
      </c>
      <c r="AA69" s="83">
        <v>0</v>
      </c>
      <c r="AB69" s="83">
        <v>1478</v>
      </c>
      <c r="AC69" s="83">
        <v>0</v>
      </c>
      <c r="AD69" s="83">
        <v>0</v>
      </c>
      <c r="AE69" s="83">
        <v>0</v>
      </c>
      <c r="AF69" s="83">
        <v>424</v>
      </c>
      <c r="AG69" s="83">
        <v>2257</v>
      </c>
      <c r="AH69" s="83">
        <v>4469</v>
      </c>
      <c r="AI69" s="83">
        <v>110759</v>
      </c>
      <c r="AJ69" s="83">
        <v>10826</v>
      </c>
      <c r="AK69" s="83">
        <v>99933</v>
      </c>
      <c r="AL69" s="83">
        <v>0</v>
      </c>
      <c r="AM69" s="83">
        <v>0</v>
      </c>
      <c r="AN69" s="83">
        <v>0</v>
      </c>
      <c r="AO69" s="83">
        <v>99933</v>
      </c>
      <c r="AP69" s="83">
        <v>3.86</v>
      </c>
      <c r="AQ69" s="83">
        <v>259096</v>
      </c>
      <c r="AR69" s="83">
        <v>0</v>
      </c>
      <c r="AS69" s="83">
        <v>138208</v>
      </c>
      <c r="AT69" s="83">
        <v>5924</v>
      </c>
      <c r="AU69" s="83">
        <v>16864</v>
      </c>
      <c r="AV69" s="83">
        <v>490</v>
      </c>
      <c r="AW69" s="83">
        <v>0</v>
      </c>
      <c r="AX69" s="83">
        <v>12808</v>
      </c>
      <c r="AY69" s="83" t="s">
        <v>86</v>
      </c>
      <c r="AZ69" s="83">
        <v>0</v>
      </c>
      <c r="BA69" s="83">
        <v>5555</v>
      </c>
      <c r="BB69" s="83">
        <v>179849</v>
      </c>
      <c r="BC69" s="83">
        <v>124185</v>
      </c>
      <c r="BD69" s="83">
        <v>0</v>
      </c>
      <c r="BE69" s="83">
        <v>114015</v>
      </c>
      <c r="BF69" s="83">
        <v>635008</v>
      </c>
      <c r="BG69" s="83">
        <v>9749</v>
      </c>
      <c r="BH69" s="83">
        <v>0</v>
      </c>
      <c r="BI69" s="83">
        <v>-557247</v>
      </c>
      <c r="BJ69" s="83">
        <v>0</v>
      </c>
      <c r="BK69" s="83">
        <v>17758</v>
      </c>
      <c r="BL69" s="83">
        <v>219283</v>
      </c>
      <c r="BM69" s="83">
        <v>12899</v>
      </c>
      <c r="BN69" s="83">
        <v>1568</v>
      </c>
      <c r="BO69" s="83">
        <v>2775</v>
      </c>
      <c r="BP69" s="83">
        <v>17243</v>
      </c>
      <c r="BQ69" s="83">
        <v>540559</v>
      </c>
      <c r="BR69" s="83">
        <v>0</v>
      </c>
      <c r="BS69" s="83">
        <v>0</v>
      </c>
      <c r="BT69" s="83">
        <v>5517</v>
      </c>
      <c r="BU69" s="83">
        <v>21675</v>
      </c>
      <c r="BV69" s="83">
        <v>0</v>
      </c>
      <c r="BW69" s="83">
        <v>7575</v>
      </c>
      <c r="BX69" s="83">
        <v>9223</v>
      </c>
      <c r="BY69" s="83">
        <v>9026</v>
      </c>
      <c r="BZ69" s="83">
        <v>84</v>
      </c>
      <c r="CA69" s="83">
        <v>53099</v>
      </c>
      <c r="CB69" s="83">
        <v>5431</v>
      </c>
      <c r="CC69" s="83">
        <v>462</v>
      </c>
      <c r="CD69" s="83">
        <v>3710</v>
      </c>
      <c r="CE69" s="83">
        <v>0</v>
      </c>
      <c r="CF69" s="83">
        <v>0</v>
      </c>
      <c r="CG69" s="83">
        <v>0</v>
      </c>
      <c r="CH69" s="83">
        <v>1479</v>
      </c>
      <c r="CI69" s="83">
        <v>5651</v>
      </c>
      <c r="CJ69" s="83">
        <v>64182</v>
      </c>
      <c r="CK69" s="83">
        <v>476377</v>
      </c>
      <c r="CL69" s="83">
        <v>256254</v>
      </c>
      <c r="CM69" s="83">
        <v>0</v>
      </c>
      <c r="CN69" s="83">
        <v>49875</v>
      </c>
      <c r="CO69" s="83">
        <v>67324</v>
      </c>
      <c r="CP69" s="83">
        <v>392</v>
      </c>
      <c r="CQ69" s="83">
        <v>102337</v>
      </c>
      <c r="CR69" s="83">
        <v>-287</v>
      </c>
      <c r="CS69" s="83">
        <v>540559</v>
      </c>
      <c r="CT69" s="83">
        <v>42.94</v>
      </c>
      <c r="CU69" s="83">
        <v>33.03</v>
      </c>
      <c r="CV69" s="83">
        <v>34.42</v>
      </c>
      <c r="CW69" s="83">
        <v>31.06</v>
      </c>
      <c r="CX69" s="83">
        <v>18.59</v>
      </c>
      <c r="CY69" s="83">
        <v>12.56</v>
      </c>
      <c r="CZ69" s="83">
        <v>4.1500000000000004</v>
      </c>
      <c r="DA69" s="83">
        <v>4.2699999999999996</v>
      </c>
      <c r="DB69" s="83">
        <v>20.74</v>
      </c>
      <c r="DC69" s="83">
        <v>18.350000000000001</v>
      </c>
      <c r="DD69" s="83">
        <v>3.86</v>
      </c>
      <c r="DE69" s="83">
        <v>2.59</v>
      </c>
      <c r="DF69" s="83">
        <v>-5.31</v>
      </c>
      <c r="DG69" s="83">
        <v>-8.2799999999999994</v>
      </c>
      <c r="DH69" s="83">
        <v>-8.4700000000000006</v>
      </c>
      <c r="DI69" s="83">
        <v>-2.0299999999999998</v>
      </c>
      <c r="DJ69" s="83">
        <v>-2.2000000000000002</v>
      </c>
      <c r="DK69" s="83">
        <v>-6.52</v>
      </c>
      <c r="DL69" s="83">
        <v>338.7</v>
      </c>
      <c r="DM69" s="83">
        <v>304.12</v>
      </c>
      <c r="DN69" s="83">
        <v>11.87</v>
      </c>
      <c r="DO69" s="83">
        <v>0.88126735499999997</v>
      </c>
      <c r="DP69" s="83">
        <v>5.4346411999999997E-2</v>
      </c>
      <c r="DQ69" s="83">
        <v>312.95</v>
      </c>
      <c r="DR69" s="83">
        <v>11.3</v>
      </c>
      <c r="DS69" s="83">
        <v>32.300884959999998</v>
      </c>
      <c r="DT69" s="83">
        <v>10.86</v>
      </c>
      <c r="DU69" s="83">
        <v>33.609576429999997</v>
      </c>
      <c r="DV69" s="83">
        <v>1.42</v>
      </c>
      <c r="DW69" s="83">
        <v>0.59</v>
      </c>
      <c r="DX69" s="83">
        <v>15754</v>
      </c>
      <c r="DY69" s="83">
        <v>0.67</v>
      </c>
      <c r="DZ69" s="83">
        <v>13.47</v>
      </c>
      <c r="EA69" s="83">
        <v>219.72</v>
      </c>
      <c r="EB69" s="83">
        <v>0.229734405</v>
      </c>
      <c r="EC69" s="83">
        <v>5.8783299999999995E-4</v>
      </c>
      <c r="ED69" s="83">
        <v>8.4222835059999994</v>
      </c>
      <c r="EE69" s="83">
        <v>99933</v>
      </c>
      <c r="EF69" s="83">
        <v>74570</v>
      </c>
      <c r="EG69" s="83">
        <v>0</v>
      </c>
      <c r="EH69" s="83">
        <v>-73</v>
      </c>
      <c r="EI69" s="83">
        <v>0</v>
      </c>
      <c r="EJ69" s="83">
        <v>1804</v>
      </c>
      <c r="EK69" s="83">
        <v>0</v>
      </c>
      <c r="EL69" s="83">
        <v>-299</v>
      </c>
      <c r="EM69" s="83">
        <v>-205</v>
      </c>
      <c r="EN69" s="83">
        <v>52</v>
      </c>
      <c r="EO69" s="83">
        <v>23203</v>
      </c>
      <c r="EP69" s="83">
        <v>8179</v>
      </c>
      <c r="EQ69" s="83">
        <v>-6969</v>
      </c>
      <c r="ER69" s="83">
        <v>11753</v>
      </c>
      <c r="ES69" s="83">
        <v>211950</v>
      </c>
      <c r="ET69" s="83">
        <v>21888</v>
      </c>
      <c r="EU69" s="83">
        <v>5097</v>
      </c>
      <c r="EV69" s="83">
        <v>-505</v>
      </c>
      <c r="EW69" s="83">
        <v>2043</v>
      </c>
      <c r="EX69" s="83">
        <v>-56766</v>
      </c>
      <c r="EY69" s="83">
        <v>-3178</v>
      </c>
      <c r="EZ69" s="83">
        <v>-31150</v>
      </c>
      <c r="FA69" s="83">
        <v>0</v>
      </c>
      <c r="FB69" s="83">
        <v>-76881</v>
      </c>
      <c r="FC69" s="83">
        <v>-4117</v>
      </c>
      <c r="FD69" s="83">
        <v>0</v>
      </c>
      <c r="FE69" s="83">
        <v>-3217</v>
      </c>
      <c r="FF69" s="83">
        <v>0</v>
      </c>
      <c r="FG69" s="83">
        <v>0</v>
      </c>
      <c r="FH69" s="83">
        <v>-33481</v>
      </c>
      <c r="FI69" s="83">
        <v>2683</v>
      </c>
      <c r="FJ69" s="83">
        <v>-115013</v>
      </c>
      <c r="FK69" s="83">
        <v>0</v>
      </c>
      <c r="FL69" s="83">
        <v>65786</v>
      </c>
      <c r="FM69" s="83">
        <v>72422</v>
      </c>
      <c r="FN69" s="83">
        <v>138208</v>
      </c>
      <c r="FO69" s="83">
        <v>355</v>
      </c>
      <c r="FP69" s="83">
        <v>10282</v>
      </c>
      <c r="FQ69" s="83">
        <v>180800</v>
      </c>
      <c r="FR69" s="83">
        <v>69.8</v>
      </c>
      <c r="FS69" s="83">
        <v>36.4</v>
      </c>
      <c r="FT69" s="83">
        <v>83.70009804</v>
      </c>
      <c r="FU69" s="83">
        <v>98</v>
      </c>
      <c r="FV69" s="83">
        <v>1683263</v>
      </c>
      <c r="FW69" s="83">
        <v>1014761</v>
      </c>
      <c r="FX69" s="83">
        <v>24</v>
      </c>
      <c r="FY69" s="83">
        <v>8</v>
      </c>
    </row>
    <row r="70" spans="1:181" hidden="1">
      <c r="A70" s="83">
        <v>2330</v>
      </c>
      <c r="B70" s="83">
        <v>96</v>
      </c>
      <c r="C70" s="83">
        <v>21.94</v>
      </c>
      <c r="D70" s="83">
        <v>4.1399999999999997</v>
      </c>
      <c r="E70" s="83">
        <v>3.0250699999999999</v>
      </c>
      <c r="F70" s="83">
        <v>5.042E-2</v>
      </c>
      <c r="G70" s="83">
        <v>0.730693237</v>
      </c>
      <c r="I70" s="83">
        <v>19.03</v>
      </c>
      <c r="J70" s="83">
        <v>313648</v>
      </c>
      <c r="K70" s="83">
        <v>176223</v>
      </c>
      <c r="L70" s="83">
        <v>137424</v>
      </c>
      <c r="M70" s="83">
        <v>-265</v>
      </c>
      <c r="N70" s="83">
        <v>24907</v>
      </c>
      <c r="O70" s="83">
        <v>112252</v>
      </c>
      <c r="P70" s="83">
        <v>2635</v>
      </c>
      <c r="Q70" s="83">
        <v>5468</v>
      </c>
      <c r="R70" s="83">
        <v>271</v>
      </c>
      <c r="S70" s="83">
        <v>0</v>
      </c>
      <c r="T70" s="83">
        <v>305</v>
      </c>
      <c r="U70" s="83">
        <v>0</v>
      </c>
      <c r="V70" s="83">
        <v>71</v>
      </c>
      <c r="W70" s="83">
        <v>2356</v>
      </c>
      <c r="X70" s="83">
        <v>11106</v>
      </c>
      <c r="Y70" s="83">
        <v>585</v>
      </c>
      <c r="Z70" s="83">
        <v>0</v>
      </c>
      <c r="AA70" s="83">
        <v>0</v>
      </c>
      <c r="AB70" s="83">
        <v>924</v>
      </c>
      <c r="AC70" s="83">
        <v>0</v>
      </c>
      <c r="AD70" s="83">
        <v>0</v>
      </c>
      <c r="AE70" s="83">
        <v>0</v>
      </c>
      <c r="AF70" s="83">
        <v>1097</v>
      </c>
      <c r="AG70" s="83">
        <v>2606</v>
      </c>
      <c r="AH70" s="83">
        <v>8500</v>
      </c>
      <c r="AI70" s="83">
        <v>120751</v>
      </c>
      <c r="AJ70" s="83">
        <v>11574</v>
      </c>
      <c r="AK70" s="83">
        <v>109177</v>
      </c>
      <c r="AL70" s="83">
        <v>0</v>
      </c>
      <c r="AM70" s="83">
        <v>0</v>
      </c>
      <c r="AN70" s="83">
        <v>0</v>
      </c>
      <c r="AO70" s="83">
        <v>109177</v>
      </c>
      <c r="AP70" s="83">
        <v>4.1399999999999997</v>
      </c>
      <c r="AQ70" s="83">
        <v>263466</v>
      </c>
      <c r="AR70" s="83">
        <v>0</v>
      </c>
      <c r="AS70" s="83">
        <v>72422</v>
      </c>
      <c r="AT70" s="83">
        <v>33836</v>
      </c>
      <c r="AU70" s="83">
        <v>40067</v>
      </c>
      <c r="AV70" s="83">
        <v>727</v>
      </c>
      <c r="AW70" s="83">
        <v>0</v>
      </c>
      <c r="AX70" s="83">
        <v>20987</v>
      </c>
      <c r="AY70" s="83" t="s">
        <v>86</v>
      </c>
      <c r="AZ70" s="83">
        <v>187</v>
      </c>
      <c r="BA70" s="83">
        <v>6073</v>
      </c>
      <c r="BB70" s="83">
        <v>174299</v>
      </c>
      <c r="BC70" s="83">
        <v>123891</v>
      </c>
      <c r="BD70" s="83">
        <v>0</v>
      </c>
      <c r="BE70" s="83">
        <v>101908</v>
      </c>
      <c r="BF70" s="83">
        <v>589132</v>
      </c>
      <c r="BG70" s="83">
        <v>9167</v>
      </c>
      <c r="BH70" s="83">
        <v>0</v>
      </c>
      <c r="BI70" s="83">
        <v>-486725</v>
      </c>
      <c r="BJ70" s="83">
        <v>0</v>
      </c>
      <c r="BK70" s="83">
        <v>21083</v>
      </c>
      <c r="BL70" s="83">
        <v>234565</v>
      </c>
      <c r="BM70" s="83">
        <v>14414</v>
      </c>
      <c r="BN70" s="83">
        <v>1568</v>
      </c>
      <c r="BO70" s="83">
        <v>3036</v>
      </c>
      <c r="BP70" s="83">
        <v>19018</v>
      </c>
      <c r="BQ70" s="83">
        <v>551773</v>
      </c>
      <c r="BR70" s="83">
        <v>0</v>
      </c>
      <c r="BS70" s="83">
        <v>0</v>
      </c>
      <c r="BT70" s="83">
        <v>12485</v>
      </c>
      <c r="BU70" s="83">
        <v>2059</v>
      </c>
      <c r="BV70" s="83">
        <v>0</v>
      </c>
      <c r="BW70" s="83">
        <v>5390</v>
      </c>
      <c r="BX70" s="83">
        <v>10978</v>
      </c>
      <c r="BY70" s="83">
        <v>3673</v>
      </c>
      <c r="BZ70" s="83">
        <v>9216</v>
      </c>
      <c r="CA70" s="83">
        <v>43801</v>
      </c>
      <c r="CB70" s="83">
        <v>14001</v>
      </c>
      <c r="CC70" s="83">
        <v>981</v>
      </c>
      <c r="CD70" s="83">
        <v>3658</v>
      </c>
      <c r="CE70" s="83">
        <v>0</v>
      </c>
      <c r="CF70" s="83">
        <v>0</v>
      </c>
      <c r="CG70" s="83">
        <v>0</v>
      </c>
      <c r="CH70" s="83">
        <v>2241</v>
      </c>
      <c r="CI70" s="83">
        <v>6879</v>
      </c>
      <c r="CJ70" s="83">
        <v>64681</v>
      </c>
      <c r="CK70" s="83">
        <v>487091</v>
      </c>
      <c r="CL70" s="83">
        <v>264271</v>
      </c>
      <c r="CM70" s="83">
        <v>0</v>
      </c>
      <c r="CN70" s="83">
        <v>53733</v>
      </c>
      <c r="CO70" s="83">
        <v>56407</v>
      </c>
      <c r="CP70" s="83">
        <v>630</v>
      </c>
      <c r="CQ70" s="83">
        <v>161828</v>
      </c>
      <c r="CR70" s="83">
        <v>681</v>
      </c>
      <c r="CS70" s="83">
        <v>551773</v>
      </c>
      <c r="CT70" s="83">
        <v>43.81</v>
      </c>
      <c r="CU70" s="83">
        <v>35.79</v>
      </c>
      <c r="CV70" s="83">
        <v>38.5</v>
      </c>
      <c r="CW70" s="83">
        <v>34.81</v>
      </c>
      <c r="CX70" s="83">
        <v>19.03</v>
      </c>
      <c r="CY70" s="83">
        <v>12.26</v>
      </c>
      <c r="CZ70" s="83">
        <v>4.3899999999999997</v>
      </c>
      <c r="DA70" s="83">
        <v>4.58</v>
      </c>
      <c r="DB70" s="83">
        <v>21.94</v>
      </c>
      <c r="DC70" s="83">
        <v>19.48</v>
      </c>
      <c r="DD70" s="83">
        <v>4.1399999999999997</v>
      </c>
      <c r="DE70" s="83">
        <v>-7.0000000000000007E-2</v>
      </c>
      <c r="DF70" s="83">
        <v>-11.12</v>
      </c>
      <c r="DG70" s="83">
        <v>-10.43</v>
      </c>
      <c r="DH70" s="83">
        <v>-14.04</v>
      </c>
      <c r="DI70" s="83">
        <v>-3.8</v>
      </c>
      <c r="DJ70" s="83">
        <v>-4.1100000000000003</v>
      </c>
      <c r="DK70" s="83">
        <v>2.77</v>
      </c>
      <c r="DL70" s="83">
        <v>397.94</v>
      </c>
      <c r="DM70" s="83">
        <v>335.73</v>
      </c>
      <c r="DN70" s="83">
        <v>11.72</v>
      </c>
      <c r="DO70" s="83">
        <v>0.88277425700000001</v>
      </c>
      <c r="DP70" s="83">
        <v>0.128241296</v>
      </c>
      <c r="DQ70" s="83">
        <v>207.51</v>
      </c>
      <c r="DR70" s="83">
        <v>8.99</v>
      </c>
      <c r="DS70" s="83">
        <v>40.60066741</v>
      </c>
      <c r="DT70" s="83">
        <v>8.7799999999999994</v>
      </c>
      <c r="DU70" s="83">
        <v>41.571753989999998</v>
      </c>
      <c r="DV70" s="83">
        <v>1.36</v>
      </c>
      <c r="DW70" s="83">
        <v>0.56000000000000005</v>
      </c>
      <c r="DX70" s="83">
        <v>15259</v>
      </c>
      <c r="DY70" s="83">
        <v>0.63</v>
      </c>
      <c r="DZ70" s="83">
        <v>13.28</v>
      </c>
      <c r="EA70" s="83">
        <v>213.63</v>
      </c>
      <c r="EB70" s="83">
        <v>0.224532552</v>
      </c>
      <c r="EC70" s="83">
        <v>4.4135570999999998E-2</v>
      </c>
      <c r="ED70" s="83">
        <v>8.5306813439999996</v>
      </c>
      <c r="EE70" s="83">
        <v>109177</v>
      </c>
      <c r="EF70" s="83">
        <v>72821</v>
      </c>
      <c r="EG70" s="83">
        <v>0</v>
      </c>
      <c r="EH70" s="83">
        <v>-5468</v>
      </c>
      <c r="EI70" s="83">
        <v>0</v>
      </c>
      <c r="EJ70" s="83">
        <v>677</v>
      </c>
      <c r="EK70" s="83">
        <v>0</v>
      </c>
      <c r="EL70" s="83">
        <v>-300</v>
      </c>
      <c r="EM70" s="83">
        <v>-271</v>
      </c>
      <c r="EN70" s="83">
        <v>128</v>
      </c>
      <c r="EO70" s="83">
        <v>-10362</v>
      </c>
      <c r="EP70" s="83">
        <v>-1835</v>
      </c>
      <c r="EQ70" s="83">
        <v>3015</v>
      </c>
      <c r="ER70" s="83">
        <v>6536</v>
      </c>
      <c r="ES70" s="83">
        <v>174117</v>
      </c>
      <c r="ET70" s="83">
        <v>9297</v>
      </c>
      <c r="EU70" s="83">
        <v>17759</v>
      </c>
      <c r="EV70" s="83">
        <v>-7395</v>
      </c>
      <c r="EW70" s="83">
        <v>55</v>
      </c>
      <c r="EX70" s="83">
        <v>-81303</v>
      </c>
      <c r="EY70" s="83">
        <v>-4353</v>
      </c>
      <c r="EZ70" s="83">
        <v>-65941</v>
      </c>
      <c r="FA70" s="83">
        <v>0</v>
      </c>
      <c r="FB70" s="83">
        <v>-77489</v>
      </c>
      <c r="FC70" s="83">
        <v>-4859</v>
      </c>
      <c r="FD70" s="83">
        <v>0</v>
      </c>
      <c r="FE70" s="83">
        <v>2881</v>
      </c>
      <c r="FF70" s="83">
        <v>0</v>
      </c>
      <c r="FG70" s="83">
        <v>-7000</v>
      </c>
      <c r="FH70" s="83">
        <v>-45413</v>
      </c>
      <c r="FI70" s="83">
        <v>-4014</v>
      </c>
      <c r="FJ70" s="83">
        <v>-135893</v>
      </c>
      <c r="FK70" s="83">
        <v>0</v>
      </c>
      <c r="FL70" s="83">
        <v>-27718</v>
      </c>
      <c r="FM70" s="83">
        <v>100140</v>
      </c>
      <c r="FN70" s="83">
        <v>72422</v>
      </c>
      <c r="FO70" s="83">
        <v>661</v>
      </c>
      <c r="FP70" s="83">
        <v>7330</v>
      </c>
      <c r="FQ70" s="83">
        <v>108176</v>
      </c>
      <c r="FR70" s="83">
        <v>73.099999999999994</v>
      </c>
      <c r="FS70" s="83">
        <v>57.4</v>
      </c>
      <c r="FT70" s="83">
        <v>87.147183929999997</v>
      </c>
      <c r="FU70" s="83">
        <v>97</v>
      </c>
      <c r="FV70" s="83">
        <v>1781126</v>
      </c>
      <c r="FW70" s="83">
        <v>953214</v>
      </c>
      <c r="FX70" s="83">
        <v>17</v>
      </c>
      <c r="FY70" s="83">
        <v>8</v>
      </c>
    </row>
    <row r="71" spans="1:181" hidden="1">
      <c r="A71" s="83">
        <v>2330</v>
      </c>
      <c r="B71" s="83">
        <v>95</v>
      </c>
      <c r="C71" s="83">
        <v>26.69</v>
      </c>
      <c r="D71" s="83">
        <v>4.93</v>
      </c>
      <c r="E71" s="83">
        <v>2.9994999999999998</v>
      </c>
      <c r="F71" s="83">
        <v>0.05</v>
      </c>
      <c r="G71" s="83">
        <v>0.60841785000000004</v>
      </c>
      <c r="I71" s="83">
        <v>19.690000000000001</v>
      </c>
      <c r="J71" s="83">
        <v>313882</v>
      </c>
      <c r="K71" s="83">
        <v>164163</v>
      </c>
      <c r="L71" s="83">
        <v>149718</v>
      </c>
      <c r="M71" s="83">
        <v>0</v>
      </c>
      <c r="N71" s="83">
        <v>23419</v>
      </c>
      <c r="O71" s="83">
        <v>126300</v>
      </c>
      <c r="P71" s="83">
        <v>3383</v>
      </c>
      <c r="Q71" s="83">
        <v>5527</v>
      </c>
      <c r="R71" s="83">
        <v>0</v>
      </c>
      <c r="S71" s="83">
        <v>34</v>
      </c>
      <c r="T71" s="83">
        <v>596</v>
      </c>
      <c r="U71" s="83">
        <v>0</v>
      </c>
      <c r="V71" s="83">
        <v>0</v>
      </c>
      <c r="W71" s="83">
        <v>2057</v>
      </c>
      <c r="X71" s="83">
        <v>11597</v>
      </c>
      <c r="Y71" s="83">
        <v>661</v>
      </c>
      <c r="Z71" s="83">
        <v>0</v>
      </c>
      <c r="AA71" s="83">
        <v>1624</v>
      </c>
      <c r="AB71" s="83">
        <v>37</v>
      </c>
      <c r="AC71" s="83">
        <v>241</v>
      </c>
      <c r="AD71" s="83">
        <v>413</v>
      </c>
      <c r="AE71" s="83">
        <v>0</v>
      </c>
      <c r="AF71" s="83">
        <v>115</v>
      </c>
      <c r="AG71" s="83">
        <v>3090</v>
      </c>
      <c r="AH71" s="83">
        <v>8507</v>
      </c>
      <c r="AI71" s="83">
        <v>134806</v>
      </c>
      <c r="AJ71" s="83">
        <v>7551</v>
      </c>
      <c r="AK71" s="83">
        <v>127256</v>
      </c>
      <c r="AL71" s="83">
        <v>0</v>
      </c>
      <c r="AM71" s="83">
        <v>0</v>
      </c>
      <c r="AN71" s="83">
        <v>-246</v>
      </c>
      <c r="AO71" s="83">
        <v>127010</v>
      </c>
      <c r="AP71" s="83">
        <v>4.93</v>
      </c>
      <c r="AQ71" s="83">
        <v>257886</v>
      </c>
      <c r="AR71" s="83">
        <v>0</v>
      </c>
      <c r="AS71" s="83">
        <v>100140</v>
      </c>
      <c r="AT71" s="83">
        <v>34522</v>
      </c>
      <c r="AU71" s="83">
        <v>29706</v>
      </c>
      <c r="AV71" s="83">
        <v>684</v>
      </c>
      <c r="AW71" s="83">
        <v>0</v>
      </c>
      <c r="AX71" s="83">
        <v>19152</v>
      </c>
      <c r="AY71" s="83" t="s">
        <v>86</v>
      </c>
      <c r="AZ71" s="83">
        <v>635</v>
      </c>
      <c r="BA71" s="83">
        <v>8837</v>
      </c>
      <c r="BB71" s="83">
        <v>193676</v>
      </c>
      <c r="BC71" s="83">
        <v>137378</v>
      </c>
      <c r="BD71" s="83">
        <v>0</v>
      </c>
      <c r="BE71" s="83">
        <v>96962</v>
      </c>
      <c r="BF71" s="83">
        <v>527851</v>
      </c>
      <c r="BG71" s="83">
        <v>8659</v>
      </c>
      <c r="BH71" s="83">
        <v>0</v>
      </c>
      <c r="BI71" s="83">
        <v>-417467</v>
      </c>
      <c r="BJ71" s="83">
        <v>0</v>
      </c>
      <c r="BK71" s="83">
        <v>12231</v>
      </c>
      <c r="BL71" s="83">
        <v>228235</v>
      </c>
      <c r="BM71" s="83">
        <v>11354</v>
      </c>
      <c r="BN71" s="83">
        <v>1568</v>
      </c>
      <c r="BO71" s="83">
        <v>1373</v>
      </c>
      <c r="BP71" s="83">
        <v>14295</v>
      </c>
      <c r="BQ71" s="83">
        <v>573585</v>
      </c>
      <c r="BR71" s="83">
        <v>0</v>
      </c>
      <c r="BS71" s="83">
        <v>0</v>
      </c>
      <c r="BT71" s="83">
        <v>9471</v>
      </c>
      <c r="BU71" s="83">
        <v>4088</v>
      </c>
      <c r="BV71" s="83">
        <v>625</v>
      </c>
      <c r="BW71" s="83">
        <v>10670</v>
      </c>
      <c r="BX71" s="83">
        <v>7850</v>
      </c>
      <c r="BY71" s="83">
        <v>7618</v>
      </c>
      <c r="BZ71" s="83">
        <v>2584</v>
      </c>
      <c r="CA71" s="83">
        <v>42905</v>
      </c>
      <c r="CB71" s="83">
        <v>14175</v>
      </c>
      <c r="CC71" s="83">
        <v>1183</v>
      </c>
      <c r="CD71" s="83">
        <v>3530</v>
      </c>
      <c r="CE71" s="83">
        <v>0</v>
      </c>
      <c r="CF71" s="83">
        <v>0</v>
      </c>
      <c r="CG71" s="83">
        <v>0</v>
      </c>
      <c r="CH71" s="83">
        <v>3810</v>
      </c>
      <c r="CI71" s="83">
        <v>8523</v>
      </c>
      <c r="CJ71" s="83">
        <v>65604</v>
      </c>
      <c r="CK71" s="83">
        <v>507981</v>
      </c>
      <c r="CL71" s="83">
        <v>258297</v>
      </c>
      <c r="CM71" s="83">
        <v>0</v>
      </c>
      <c r="CN71" s="83">
        <v>54107</v>
      </c>
      <c r="CO71" s="83">
        <v>43706</v>
      </c>
      <c r="CP71" s="83">
        <v>641</v>
      </c>
      <c r="CQ71" s="83">
        <v>152778</v>
      </c>
      <c r="CR71" s="83">
        <v>562</v>
      </c>
      <c r="CS71" s="83">
        <v>573585</v>
      </c>
      <c r="CT71" s="83">
        <v>47.7</v>
      </c>
      <c r="CU71" s="83">
        <v>40.24</v>
      </c>
      <c r="CV71" s="83">
        <v>42.95</v>
      </c>
      <c r="CW71" s="83">
        <v>40.46</v>
      </c>
      <c r="CX71" s="83">
        <v>19.690000000000001</v>
      </c>
      <c r="CY71" s="83">
        <v>12.17</v>
      </c>
      <c r="CZ71" s="83">
        <v>4.9000000000000004</v>
      </c>
      <c r="DA71" s="83">
        <v>5.23</v>
      </c>
      <c r="DB71" s="83">
        <v>26.69</v>
      </c>
      <c r="DC71" s="83">
        <v>23.63</v>
      </c>
      <c r="DD71" s="83">
        <v>4.93</v>
      </c>
      <c r="DE71" s="83">
        <v>18.63</v>
      </c>
      <c r="DF71" s="83">
        <v>35.79</v>
      </c>
      <c r="DG71" s="83">
        <v>43.69</v>
      </c>
      <c r="DH71" s="83">
        <v>35.729999999999997</v>
      </c>
      <c r="DI71" s="83">
        <v>13.01</v>
      </c>
      <c r="DJ71" s="83">
        <v>13.99</v>
      </c>
      <c r="DK71" s="83">
        <v>6.58</v>
      </c>
      <c r="DL71" s="83">
        <v>451.4</v>
      </c>
      <c r="DM71" s="83">
        <v>384.69</v>
      </c>
      <c r="DN71" s="83">
        <v>11.44</v>
      </c>
      <c r="DO71" s="83">
        <v>0.88562462399999997</v>
      </c>
      <c r="DP71" s="83">
        <v>0.111605385</v>
      </c>
      <c r="DQ71" s="83">
        <v>204.88</v>
      </c>
      <c r="DR71" s="83">
        <v>9.5</v>
      </c>
      <c r="DS71" s="83">
        <v>38.421052629999998</v>
      </c>
      <c r="DT71" s="83">
        <v>9.27</v>
      </c>
      <c r="DU71" s="83">
        <v>39.374325779999999</v>
      </c>
      <c r="DV71" s="83">
        <v>1.42</v>
      </c>
      <c r="DW71" s="83">
        <v>0.57999999999999996</v>
      </c>
      <c r="DX71" s="83">
        <v>15537</v>
      </c>
      <c r="DY71" s="83">
        <v>0.66</v>
      </c>
      <c r="DZ71" s="83">
        <v>12.91</v>
      </c>
      <c r="EA71" s="83">
        <v>228.78</v>
      </c>
      <c r="EB71" s="83">
        <v>0.23950765800000001</v>
      </c>
      <c r="EC71" s="83">
        <v>4.023206E-2</v>
      </c>
      <c r="ED71" s="83">
        <v>8.7431406620000001</v>
      </c>
      <c r="EE71" s="83">
        <v>127010</v>
      </c>
      <c r="EF71" s="83">
        <v>66699</v>
      </c>
      <c r="EG71" s="83">
        <v>0</v>
      </c>
      <c r="EH71" s="83">
        <v>-5527</v>
      </c>
      <c r="EI71" s="83">
        <v>0</v>
      </c>
      <c r="EJ71" s="83">
        <v>626</v>
      </c>
      <c r="EK71" s="83">
        <v>0</v>
      </c>
      <c r="EL71" s="83">
        <v>-355</v>
      </c>
      <c r="EM71" s="83">
        <v>11</v>
      </c>
      <c r="EN71" s="83">
        <v>69</v>
      </c>
      <c r="EO71" s="83">
        <v>6690</v>
      </c>
      <c r="EP71" s="83">
        <v>-2894</v>
      </c>
      <c r="EQ71" s="83">
        <v>-1824</v>
      </c>
      <c r="ER71" s="83">
        <v>5575</v>
      </c>
      <c r="ES71" s="83">
        <v>196080</v>
      </c>
      <c r="ET71" s="83">
        <v>-25468</v>
      </c>
      <c r="EU71" s="83">
        <v>259</v>
      </c>
      <c r="EV71" s="83">
        <v>-13659</v>
      </c>
      <c r="EW71" s="83">
        <v>1278</v>
      </c>
      <c r="EX71" s="83">
        <v>-77216</v>
      </c>
      <c r="EY71" s="83">
        <v>-2495</v>
      </c>
      <c r="EZ71" s="83">
        <v>-117302</v>
      </c>
      <c r="FA71" s="83">
        <v>0</v>
      </c>
      <c r="FB71" s="83">
        <v>-61825</v>
      </c>
      <c r="FC71" s="83">
        <v>-3690</v>
      </c>
      <c r="FD71" s="83">
        <v>0</v>
      </c>
      <c r="FE71" s="83">
        <v>-1187</v>
      </c>
      <c r="FF71" s="83">
        <v>0</v>
      </c>
      <c r="FG71" s="83">
        <v>0</v>
      </c>
      <c r="FH71" s="83">
        <v>0</v>
      </c>
      <c r="FI71" s="83">
        <v>2680</v>
      </c>
      <c r="FJ71" s="83">
        <v>-64022</v>
      </c>
      <c r="FK71" s="83">
        <v>0</v>
      </c>
      <c r="FL71" s="83">
        <v>14756</v>
      </c>
      <c r="FM71" s="83">
        <v>85384</v>
      </c>
      <c r="FN71" s="83">
        <v>100140</v>
      </c>
      <c r="FO71" s="83">
        <v>661</v>
      </c>
      <c r="FP71" s="83">
        <v>3190</v>
      </c>
      <c r="FQ71" s="83">
        <v>78778</v>
      </c>
      <c r="FR71" s="83">
        <v>70</v>
      </c>
      <c r="FS71" s="83">
        <v>52.3</v>
      </c>
      <c r="FT71" s="83">
        <v>90.582419849999994</v>
      </c>
      <c r="FU71" s="83">
        <v>96</v>
      </c>
      <c r="FV71" s="83">
        <v>1928688</v>
      </c>
      <c r="FW71" s="83">
        <v>1545776</v>
      </c>
      <c r="FX71" s="83">
        <v>17</v>
      </c>
      <c r="FY71" s="83">
        <v>12</v>
      </c>
    </row>
    <row r="72" spans="1:181" hidden="1">
      <c r="A72" s="83">
        <v>2330</v>
      </c>
      <c r="B72" s="83">
        <v>94</v>
      </c>
      <c r="C72" s="83">
        <v>22.16</v>
      </c>
      <c r="D72" s="83">
        <v>3.79</v>
      </c>
      <c r="E72" s="83">
        <v>2.4990999999999999</v>
      </c>
      <c r="F72" s="83">
        <v>0.2999</v>
      </c>
      <c r="G72" s="83">
        <v>0.65939314000000004</v>
      </c>
      <c r="I72" s="83">
        <v>18.04</v>
      </c>
      <c r="J72" s="83">
        <v>264588</v>
      </c>
      <c r="K72" s="83">
        <v>149344</v>
      </c>
      <c r="L72" s="83">
        <v>115244</v>
      </c>
      <c r="M72" s="83">
        <v>0</v>
      </c>
      <c r="N72" s="83">
        <v>22230</v>
      </c>
      <c r="O72" s="83">
        <v>93014</v>
      </c>
      <c r="P72" s="83">
        <v>2770</v>
      </c>
      <c r="Q72" s="83">
        <v>0</v>
      </c>
      <c r="R72" s="83">
        <v>0</v>
      </c>
      <c r="S72" s="83">
        <v>0</v>
      </c>
      <c r="T72" s="83">
        <v>494</v>
      </c>
      <c r="U72" s="83">
        <v>0</v>
      </c>
      <c r="V72" s="83">
        <v>0</v>
      </c>
      <c r="W72" s="83">
        <v>1808</v>
      </c>
      <c r="X72" s="83">
        <v>5072</v>
      </c>
      <c r="Y72" s="83">
        <v>2430</v>
      </c>
      <c r="Z72" s="83">
        <v>1052</v>
      </c>
      <c r="AA72" s="83">
        <v>149</v>
      </c>
      <c r="AB72" s="83">
        <v>337</v>
      </c>
      <c r="AC72" s="83">
        <v>60</v>
      </c>
      <c r="AD72" s="83">
        <v>34</v>
      </c>
      <c r="AE72" s="83">
        <v>0</v>
      </c>
      <c r="AF72" s="83">
        <v>204</v>
      </c>
      <c r="AG72" s="83">
        <v>4266</v>
      </c>
      <c r="AH72" s="83">
        <v>806</v>
      </c>
      <c r="AI72" s="83">
        <v>93819</v>
      </c>
      <c r="AJ72" s="83">
        <v>244</v>
      </c>
      <c r="AK72" s="83">
        <v>93575</v>
      </c>
      <c r="AL72" s="83">
        <v>0</v>
      </c>
      <c r="AM72" s="83">
        <v>0</v>
      </c>
      <c r="AN72" s="83">
        <v>0</v>
      </c>
      <c r="AO72" s="83">
        <v>93575</v>
      </c>
      <c r="AP72" s="83">
        <v>3.79</v>
      </c>
      <c r="AQ72" s="83">
        <v>246799</v>
      </c>
      <c r="AR72" s="83">
        <v>0</v>
      </c>
      <c r="AS72" s="83">
        <v>85384</v>
      </c>
      <c r="AT72" s="83">
        <v>47055</v>
      </c>
      <c r="AU72" s="83">
        <v>36396</v>
      </c>
      <c r="AV72" s="83">
        <v>3998</v>
      </c>
      <c r="AW72" s="83">
        <v>0</v>
      </c>
      <c r="AX72" s="83">
        <v>16258</v>
      </c>
      <c r="AY72" s="83" t="s">
        <v>86</v>
      </c>
      <c r="AZ72" s="83">
        <v>865</v>
      </c>
      <c r="BA72" s="83">
        <v>7606</v>
      </c>
      <c r="BB72" s="83">
        <v>197562</v>
      </c>
      <c r="BC72" s="83">
        <v>80660</v>
      </c>
      <c r="BD72" s="83">
        <v>0</v>
      </c>
      <c r="BE72" s="83">
        <v>90770</v>
      </c>
      <c r="BF72" s="83">
        <v>459851</v>
      </c>
      <c r="BG72" s="83">
        <v>7850</v>
      </c>
      <c r="BH72" s="83">
        <v>0</v>
      </c>
      <c r="BI72" s="83">
        <v>-359192</v>
      </c>
      <c r="BJ72" s="83">
        <v>0</v>
      </c>
      <c r="BK72" s="83">
        <v>14867</v>
      </c>
      <c r="BL72" s="83">
        <v>214146</v>
      </c>
      <c r="BM72" s="83">
        <v>13441</v>
      </c>
      <c r="BN72" s="83">
        <v>1568</v>
      </c>
      <c r="BO72" s="83">
        <v>163</v>
      </c>
      <c r="BP72" s="83">
        <v>15172</v>
      </c>
      <c r="BQ72" s="83">
        <v>507540</v>
      </c>
      <c r="BR72" s="83">
        <v>0</v>
      </c>
      <c r="BS72" s="83">
        <v>0</v>
      </c>
      <c r="BT72" s="83">
        <v>11294</v>
      </c>
      <c r="BU72" s="83">
        <v>5375</v>
      </c>
      <c r="BV72" s="83">
        <v>0</v>
      </c>
      <c r="BW72" s="83">
        <v>8859</v>
      </c>
      <c r="BX72" s="83">
        <v>3816</v>
      </c>
      <c r="BY72" s="83">
        <v>869</v>
      </c>
      <c r="BZ72" s="83">
        <v>1971</v>
      </c>
      <c r="CA72" s="83">
        <v>32184</v>
      </c>
      <c r="CB72" s="83">
        <v>22112</v>
      </c>
      <c r="CC72" s="83">
        <v>1259</v>
      </c>
      <c r="CD72" s="83">
        <v>3461</v>
      </c>
      <c r="CE72" s="83">
        <v>0</v>
      </c>
      <c r="CF72" s="83">
        <v>0</v>
      </c>
      <c r="CG72" s="83">
        <v>0</v>
      </c>
      <c r="CH72" s="83">
        <v>2893</v>
      </c>
      <c r="CI72" s="83">
        <v>7613</v>
      </c>
      <c r="CJ72" s="83">
        <v>61909</v>
      </c>
      <c r="CK72" s="83">
        <v>445630</v>
      </c>
      <c r="CL72" s="83">
        <v>247300</v>
      </c>
      <c r="CM72" s="83">
        <v>0</v>
      </c>
      <c r="CN72" s="83">
        <v>57118</v>
      </c>
      <c r="CO72" s="83">
        <v>34348</v>
      </c>
      <c r="CP72" s="83">
        <v>2226</v>
      </c>
      <c r="CQ72" s="83">
        <v>106196</v>
      </c>
      <c r="CR72" s="83">
        <v>0</v>
      </c>
      <c r="CS72" s="83">
        <v>507540</v>
      </c>
      <c r="CT72" s="83">
        <v>43.56</v>
      </c>
      <c r="CU72" s="83">
        <v>35.15</v>
      </c>
      <c r="CV72" s="83">
        <v>35.46</v>
      </c>
      <c r="CW72" s="83">
        <v>35.369999999999997</v>
      </c>
      <c r="CX72" s="83">
        <v>18.04</v>
      </c>
      <c r="CY72" s="83">
        <v>10.71</v>
      </c>
      <c r="CZ72" s="83">
        <v>3.77</v>
      </c>
      <c r="DA72" s="83">
        <v>3.8</v>
      </c>
      <c r="DB72" s="83">
        <v>22.16</v>
      </c>
      <c r="DC72" s="83">
        <v>19.170000000000002</v>
      </c>
      <c r="DD72" s="83">
        <v>3.79</v>
      </c>
      <c r="DE72" s="83">
        <v>3.36</v>
      </c>
      <c r="DF72" s="83">
        <v>7.13</v>
      </c>
      <c r="DG72" s="83">
        <v>2.2200000000000002</v>
      </c>
      <c r="DH72" s="83">
        <v>1.36</v>
      </c>
      <c r="DI72" s="83">
        <v>4.0999999999999996</v>
      </c>
      <c r="DJ72" s="83">
        <v>11.7</v>
      </c>
      <c r="DK72" s="83">
        <v>-6.07</v>
      </c>
      <c r="DL72" s="83">
        <v>613.84</v>
      </c>
      <c r="DM72" s="83">
        <v>537.01</v>
      </c>
      <c r="DN72" s="83">
        <v>12.2</v>
      </c>
      <c r="DO72" s="83">
        <v>0.87801946600000003</v>
      </c>
      <c r="DP72" s="83">
        <v>0.23630243100000001</v>
      </c>
      <c r="DQ72" s="83">
        <v>39.619999999999997</v>
      </c>
      <c r="DR72" s="83">
        <v>8.32</v>
      </c>
      <c r="DS72" s="83">
        <v>43.87019231</v>
      </c>
      <c r="DT72" s="83">
        <v>9.82</v>
      </c>
      <c r="DU72" s="83">
        <v>37.169042769999997</v>
      </c>
      <c r="DV72" s="83">
        <v>1.2</v>
      </c>
      <c r="DW72" s="83">
        <v>0.53</v>
      </c>
      <c r="DX72" s="83">
        <v>13597</v>
      </c>
      <c r="DY72" s="83">
        <v>0.63</v>
      </c>
      <c r="DZ72" s="83">
        <v>13.89</v>
      </c>
      <c r="EA72" s="83">
        <v>218.42</v>
      </c>
      <c r="EB72" s="83">
        <v>0.158923435</v>
      </c>
      <c r="EC72" s="83">
        <v>0</v>
      </c>
      <c r="ED72" s="83">
        <v>8.1981618180000009</v>
      </c>
      <c r="EE72" s="83">
        <v>93575</v>
      </c>
      <c r="EF72" s="83">
        <v>67991</v>
      </c>
      <c r="EG72" s="83">
        <v>0</v>
      </c>
      <c r="EH72" s="83">
        <v>0</v>
      </c>
      <c r="EI72" s="83">
        <v>1052</v>
      </c>
      <c r="EJ72" s="83">
        <v>668</v>
      </c>
      <c r="EK72" s="83">
        <v>0</v>
      </c>
      <c r="EL72" s="83">
        <v>-434</v>
      </c>
      <c r="EM72" s="83">
        <v>-4</v>
      </c>
      <c r="EN72" s="83">
        <v>360</v>
      </c>
      <c r="EO72" s="83">
        <v>-9192</v>
      </c>
      <c r="EP72" s="83">
        <v>-2086</v>
      </c>
      <c r="EQ72" s="83">
        <v>1607</v>
      </c>
      <c r="ER72" s="83">
        <v>-3059</v>
      </c>
      <c r="ES72" s="83">
        <v>150480</v>
      </c>
      <c r="ET72" s="83">
        <v>5924</v>
      </c>
      <c r="EU72" s="83">
        <v>10474</v>
      </c>
      <c r="EV72" s="83">
        <v>-17038</v>
      </c>
      <c r="EW72" s="83">
        <v>2087</v>
      </c>
      <c r="EX72" s="83">
        <v>-73659</v>
      </c>
      <c r="EY72" s="83">
        <v>-846</v>
      </c>
      <c r="EZ72" s="83">
        <v>-73058</v>
      </c>
      <c r="FA72" s="83">
        <v>0</v>
      </c>
      <c r="FB72" s="83">
        <v>-46504</v>
      </c>
      <c r="FC72" s="83">
        <v>-3318</v>
      </c>
      <c r="FD72" s="83">
        <v>0</v>
      </c>
      <c r="FE72" s="83">
        <v>-2278</v>
      </c>
      <c r="FF72" s="83">
        <v>0</v>
      </c>
      <c r="FG72" s="83">
        <v>-10500</v>
      </c>
      <c r="FH72" s="83">
        <v>0</v>
      </c>
      <c r="FI72" s="83">
        <v>5029</v>
      </c>
      <c r="FJ72" s="83">
        <v>-57570</v>
      </c>
      <c r="FK72" s="83">
        <v>0</v>
      </c>
      <c r="FL72" s="83">
        <v>19852</v>
      </c>
      <c r="FM72" s="83">
        <v>65532</v>
      </c>
      <c r="FN72" s="83">
        <v>85384</v>
      </c>
      <c r="FO72" s="83">
        <v>2270</v>
      </c>
      <c r="FP72" s="83">
        <v>87</v>
      </c>
      <c r="FQ72" s="83">
        <v>77422</v>
      </c>
      <c r="FR72" s="83">
        <v>64.3</v>
      </c>
      <c r="FS72" s="83">
        <v>46.2</v>
      </c>
      <c r="FT72" s="83">
        <v>95.798086620000007</v>
      </c>
      <c r="FU72" s="83">
        <v>95</v>
      </c>
      <c r="FV72" s="83">
        <v>1753406</v>
      </c>
      <c r="FW72" s="83">
        <v>1366041</v>
      </c>
      <c r="FX72" s="83">
        <v>21</v>
      </c>
      <c r="FY72" s="83">
        <v>12</v>
      </c>
    </row>
    <row r="73" spans="1:181" hidden="1">
      <c r="A73" s="83">
        <v>2330</v>
      </c>
      <c r="B73" s="83">
        <v>93</v>
      </c>
      <c r="C73" s="83">
        <v>25.36</v>
      </c>
      <c r="D73" s="83">
        <v>3.97</v>
      </c>
      <c r="E73" s="83">
        <v>1.9998</v>
      </c>
      <c r="F73" s="83">
        <v>0.49997000000000003</v>
      </c>
      <c r="G73" s="83">
        <v>0.50372795999999997</v>
      </c>
      <c r="I73" s="83">
        <v>17.190000000000001</v>
      </c>
      <c r="J73" s="83">
        <v>255992</v>
      </c>
      <c r="K73" s="83">
        <v>145832</v>
      </c>
      <c r="L73" s="83">
        <v>110161</v>
      </c>
      <c r="M73" s="83">
        <v>0</v>
      </c>
      <c r="N73" s="83">
        <v>23338</v>
      </c>
      <c r="O73" s="83">
        <v>86823</v>
      </c>
      <c r="P73" s="83">
        <v>1762</v>
      </c>
      <c r="Q73" s="83">
        <v>4040</v>
      </c>
      <c r="R73" s="83">
        <v>90</v>
      </c>
      <c r="S73" s="83">
        <v>0</v>
      </c>
      <c r="T73" s="83">
        <v>164</v>
      </c>
      <c r="U73" s="83">
        <v>0</v>
      </c>
      <c r="V73" s="83">
        <v>0</v>
      </c>
      <c r="W73" s="83">
        <v>803</v>
      </c>
      <c r="X73" s="83">
        <v>6860</v>
      </c>
      <c r="Y73" s="83">
        <v>1353</v>
      </c>
      <c r="Z73" s="83">
        <v>0</v>
      </c>
      <c r="AA73" s="83">
        <v>0</v>
      </c>
      <c r="AB73" s="83">
        <v>75</v>
      </c>
      <c r="AC73" s="83">
        <v>108</v>
      </c>
      <c r="AD73" s="83">
        <v>323</v>
      </c>
      <c r="AE73" s="83">
        <v>0</v>
      </c>
      <c r="AF73" s="83">
        <v>45</v>
      </c>
      <c r="AG73" s="83">
        <v>1904</v>
      </c>
      <c r="AH73" s="83">
        <v>4956</v>
      </c>
      <c r="AI73" s="83">
        <v>91779</v>
      </c>
      <c r="AJ73" s="83">
        <v>-538</v>
      </c>
      <c r="AK73" s="83">
        <v>92316</v>
      </c>
      <c r="AL73" s="83">
        <v>0</v>
      </c>
      <c r="AM73" s="83">
        <v>0</v>
      </c>
      <c r="AN73" s="83">
        <v>0</v>
      </c>
      <c r="AO73" s="83">
        <v>92316</v>
      </c>
      <c r="AP73" s="83">
        <v>3.97</v>
      </c>
      <c r="AQ73" s="83">
        <v>232487</v>
      </c>
      <c r="AR73" s="83">
        <v>0</v>
      </c>
      <c r="AS73" s="83">
        <v>65532</v>
      </c>
      <c r="AT73" s="83">
        <v>52979</v>
      </c>
      <c r="AU73" s="83">
        <v>27205</v>
      </c>
      <c r="AV73" s="83">
        <v>3362</v>
      </c>
      <c r="AW73" s="83">
        <v>0</v>
      </c>
      <c r="AX73" s="83">
        <v>14172</v>
      </c>
      <c r="AY73" s="83" t="s">
        <v>86</v>
      </c>
      <c r="AZ73" s="83">
        <v>740</v>
      </c>
      <c r="BA73" s="83">
        <v>9677</v>
      </c>
      <c r="BB73" s="83">
        <v>173667</v>
      </c>
      <c r="BC73" s="83">
        <v>73293</v>
      </c>
      <c r="BD73" s="83">
        <v>0</v>
      </c>
      <c r="BE73" s="83">
        <v>84299</v>
      </c>
      <c r="BF73" s="83">
        <v>390719</v>
      </c>
      <c r="BG73" s="83">
        <v>7041</v>
      </c>
      <c r="BH73" s="83">
        <v>0</v>
      </c>
      <c r="BI73" s="83">
        <v>-300006</v>
      </c>
      <c r="BJ73" s="83">
        <v>0</v>
      </c>
      <c r="BK73" s="83">
        <v>45923</v>
      </c>
      <c r="BL73" s="83">
        <v>227976</v>
      </c>
      <c r="BM73" s="83">
        <v>10490</v>
      </c>
      <c r="BN73" s="83">
        <v>1916</v>
      </c>
      <c r="BO73" s="83">
        <v>210</v>
      </c>
      <c r="BP73" s="83">
        <v>12617</v>
      </c>
      <c r="BQ73" s="83">
        <v>487553</v>
      </c>
      <c r="BR73" s="83">
        <v>0</v>
      </c>
      <c r="BS73" s="83">
        <v>0</v>
      </c>
      <c r="BT73" s="83">
        <v>9687</v>
      </c>
      <c r="BU73" s="83">
        <v>5365</v>
      </c>
      <c r="BV73" s="83">
        <v>0</v>
      </c>
      <c r="BW73" s="83">
        <v>31154</v>
      </c>
      <c r="BX73" s="83">
        <v>0</v>
      </c>
      <c r="BY73" s="83">
        <v>12005</v>
      </c>
      <c r="BZ73" s="83">
        <v>2427</v>
      </c>
      <c r="CA73" s="83">
        <v>60639</v>
      </c>
      <c r="CB73" s="83">
        <v>23753</v>
      </c>
      <c r="CC73" s="83">
        <v>683</v>
      </c>
      <c r="CD73" s="83">
        <v>3101</v>
      </c>
      <c r="CE73" s="83">
        <v>0</v>
      </c>
      <c r="CF73" s="83">
        <v>0</v>
      </c>
      <c r="CG73" s="83">
        <v>0</v>
      </c>
      <c r="CH73" s="83">
        <v>412</v>
      </c>
      <c r="CI73" s="83">
        <v>4196</v>
      </c>
      <c r="CJ73" s="83">
        <v>88588</v>
      </c>
      <c r="CK73" s="83">
        <v>398965</v>
      </c>
      <c r="CL73" s="83">
        <v>232520</v>
      </c>
      <c r="CM73" s="83">
        <v>0</v>
      </c>
      <c r="CN73" s="83">
        <v>56537</v>
      </c>
      <c r="CO73" s="83">
        <v>25528</v>
      </c>
      <c r="CP73" s="83">
        <v>0</v>
      </c>
      <c r="CQ73" s="83">
        <v>88202</v>
      </c>
      <c r="CR73" s="83">
        <v>0</v>
      </c>
      <c r="CS73" s="83">
        <v>487553</v>
      </c>
      <c r="CT73" s="83">
        <v>43.03</v>
      </c>
      <c r="CU73" s="83">
        <v>33.92</v>
      </c>
      <c r="CV73" s="83">
        <v>35.85</v>
      </c>
      <c r="CW73" s="83">
        <v>36.06</v>
      </c>
      <c r="CX73" s="83">
        <v>17.190000000000001</v>
      </c>
      <c r="CY73" s="83">
        <v>11.03</v>
      </c>
      <c r="CZ73" s="83">
        <v>3.74</v>
      </c>
      <c r="DA73" s="83">
        <v>3.95</v>
      </c>
      <c r="DB73" s="83">
        <v>25.36</v>
      </c>
      <c r="DC73" s="83">
        <v>21.12</v>
      </c>
      <c r="DD73" s="83">
        <v>3.97</v>
      </c>
      <c r="DE73" s="83">
        <v>26.79</v>
      </c>
      <c r="DF73" s="83">
        <v>64.91</v>
      </c>
      <c r="DG73" s="83">
        <v>79.86</v>
      </c>
      <c r="DH73" s="83">
        <v>95.34</v>
      </c>
      <c r="DI73" s="83">
        <v>22.99</v>
      </c>
      <c r="DJ73" s="83">
        <v>21.19</v>
      </c>
      <c r="DK73" s="83">
        <v>21.08</v>
      </c>
      <c r="DL73" s="83">
        <v>286.39999999999998</v>
      </c>
      <c r="DM73" s="83">
        <v>245.85</v>
      </c>
      <c r="DN73" s="83">
        <v>18.170000000000002</v>
      </c>
      <c r="DO73" s="83">
        <v>0.81830077999999995</v>
      </c>
      <c r="DP73" s="83">
        <v>0.25730101</v>
      </c>
      <c r="DQ73" s="83">
        <v>68.849999999999994</v>
      </c>
      <c r="DR73" s="83">
        <v>9.66</v>
      </c>
      <c r="DS73" s="83">
        <v>37.784679089999997</v>
      </c>
      <c r="DT73" s="83">
        <v>11.63</v>
      </c>
      <c r="DU73" s="83">
        <v>31.384350820000002</v>
      </c>
      <c r="DV73" s="83">
        <v>1.23</v>
      </c>
      <c r="DW73" s="83">
        <v>0.57999999999999996</v>
      </c>
      <c r="DX73" s="83">
        <v>13791</v>
      </c>
      <c r="DY73" s="83">
        <v>0.7</v>
      </c>
      <c r="DZ73" s="83">
        <v>22.2</v>
      </c>
      <c r="EA73" s="83">
        <v>185.42</v>
      </c>
      <c r="EB73" s="83">
        <v>0.15032827200000001</v>
      </c>
      <c r="EC73" s="83">
        <v>5.5121226000000002E-2</v>
      </c>
      <c r="ED73" s="83">
        <v>5.503600939</v>
      </c>
      <c r="EE73" s="83">
        <v>92316</v>
      </c>
      <c r="EF73" s="83">
        <v>63072</v>
      </c>
      <c r="EG73" s="83">
        <v>29</v>
      </c>
      <c r="EH73" s="83">
        <v>-4040</v>
      </c>
      <c r="EI73" s="83">
        <v>0</v>
      </c>
      <c r="EJ73" s="83">
        <v>0</v>
      </c>
      <c r="EK73" s="83">
        <v>0</v>
      </c>
      <c r="EL73" s="83">
        <v>-56</v>
      </c>
      <c r="EM73" s="83">
        <v>-2</v>
      </c>
      <c r="EN73" s="83">
        <v>501</v>
      </c>
      <c r="EO73" s="83">
        <v>-1428</v>
      </c>
      <c r="EP73" s="83">
        <v>-3265</v>
      </c>
      <c r="EQ73" s="83">
        <v>-897</v>
      </c>
      <c r="ER73" s="83">
        <v>-2549</v>
      </c>
      <c r="ES73" s="83">
        <v>143680</v>
      </c>
      <c r="ET73" s="83">
        <v>-43822</v>
      </c>
      <c r="EU73" s="83">
        <v>8</v>
      </c>
      <c r="EV73" s="83">
        <v>-30291</v>
      </c>
      <c r="EW73" s="83">
        <v>1714</v>
      </c>
      <c r="EX73" s="83">
        <v>-76171</v>
      </c>
      <c r="EY73" s="83">
        <v>-2312</v>
      </c>
      <c r="EZ73" s="83">
        <v>-150875</v>
      </c>
      <c r="FA73" s="83">
        <v>0</v>
      </c>
      <c r="FB73" s="83">
        <v>-12344</v>
      </c>
      <c r="FC73" s="83">
        <v>-809</v>
      </c>
      <c r="FD73" s="83">
        <v>0</v>
      </c>
      <c r="FE73" s="83">
        <v>865</v>
      </c>
      <c r="FF73" s="83">
        <v>0</v>
      </c>
      <c r="FG73" s="83">
        <v>-5000</v>
      </c>
      <c r="FH73" s="83">
        <v>-7060</v>
      </c>
      <c r="FI73" s="83">
        <v>-1213</v>
      </c>
      <c r="FJ73" s="83">
        <v>-25561</v>
      </c>
      <c r="FK73" s="83">
        <v>0</v>
      </c>
      <c r="FL73" s="83">
        <v>-32756</v>
      </c>
      <c r="FM73" s="83">
        <v>98288</v>
      </c>
      <c r="FN73" s="83">
        <v>65532</v>
      </c>
      <c r="FO73" s="83">
        <v>1379</v>
      </c>
      <c r="FP73" s="83">
        <v>310</v>
      </c>
      <c r="FQ73" s="83">
        <v>-7195</v>
      </c>
      <c r="FR73" s="83">
        <v>68.5</v>
      </c>
      <c r="FS73" s="83">
        <v>40.700000000000003</v>
      </c>
      <c r="FT73" s="83">
        <v>102.58750360000001</v>
      </c>
      <c r="FU73" s="83">
        <v>94</v>
      </c>
      <c r="FV73" s="83">
        <v>1580000</v>
      </c>
      <c r="FW73" s="83">
        <v>1088188</v>
      </c>
      <c r="FX73" s="83">
        <v>19</v>
      </c>
      <c r="FY73" s="83">
        <v>13</v>
      </c>
    </row>
    <row r="74" spans="1:181" hidden="1"/>
    <row r="75" spans="1:181" hidden="1"/>
    <row r="76" spans="1:181" hidden="1"/>
    <row r="77" spans="1:181" hidden="1"/>
    <row r="78" spans="1:181" hidden="1"/>
    <row r="79" spans="1:181" hidden="1"/>
    <row r="80" spans="1:181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</sheetData>
  <sheetProtection password="FA0B" sheet="1" objects="1" scenarios="1"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Q99"/>
  <sheetViews>
    <sheetView workbookViewId="0">
      <pane ySplit="55" topLeftCell="A59" activePane="bottomLeft" state="frozen"/>
      <selection pane="bottomLeft" sqref="A1:XFD1048576"/>
    </sheetView>
  </sheetViews>
  <sheetFormatPr defaultRowHeight="14.25"/>
  <cols>
    <col min="1" max="173" width="5.625" style="82" customWidth="1"/>
    <col min="174" max="16384" width="9" style="82"/>
  </cols>
  <sheetData>
    <row r="1" spans="1:173" hidden="1">
      <c r="A1" s="82" t="s">
        <v>235</v>
      </c>
      <c r="B1" s="83" t="s">
        <v>3</v>
      </c>
      <c r="C1" s="83" t="s">
        <v>8</v>
      </c>
      <c r="D1" s="83" t="s">
        <v>9</v>
      </c>
      <c r="E1" s="83" t="s">
        <v>12</v>
      </c>
      <c r="F1" s="83" t="s">
        <v>14</v>
      </c>
      <c r="G1" s="83" t="s">
        <v>16</v>
      </c>
      <c r="H1" s="83" t="s">
        <v>18</v>
      </c>
      <c r="I1" s="83" t="s">
        <v>19</v>
      </c>
      <c r="J1" s="83" t="s">
        <v>20</v>
      </c>
      <c r="K1" s="83" t="s">
        <v>21</v>
      </c>
      <c r="L1" s="83" t="s">
        <v>22</v>
      </c>
      <c r="M1" s="83" t="s">
        <v>23</v>
      </c>
      <c r="N1" s="83" t="s">
        <v>24</v>
      </c>
      <c r="O1" s="83" t="s">
        <v>25</v>
      </c>
      <c r="P1" s="83" t="s">
        <v>26</v>
      </c>
      <c r="Q1" s="83" t="s">
        <v>27</v>
      </c>
      <c r="R1" s="83" t="s">
        <v>28</v>
      </c>
      <c r="S1" s="83" t="s">
        <v>29</v>
      </c>
      <c r="T1" s="83" t="s">
        <v>30</v>
      </c>
      <c r="U1" s="83" t="s">
        <v>31</v>
      </c>
      <c r="V1" s="83" t="s">
        <v>32</v>
      </c>
      <c r="W1" s="83" t="s">
        <v>33</v>
      </c>
      <c r="X1" s="83" t="s">
        <v>36</v>
      </c>
      <c r="Y1" s="83" t="s">
        <v>39</v>
      </c>
      <c r="Z1" s="83" t="s">
        <v>42</v>
      </c>
      <c r="AA1" s="83" t="s">
        <v>45</v>
      </c>
      <c r="AB1" s="83" t="s">
        <v>48</v>
      </c>
      <c r="AC1" s="83" t="s">
        <v>51</v>
      </c>
      <c r="AD1" s="83" t="s">
        <v>54</v>
      </c>
      <c r="AE1" s="83" t="s">
        <v>56</v>
      </c>
      <c r="AF1" s="83" t="s">
        <v>59</v>
      </c>
      <c r="AG1" s="83" t="s">
        <v>62</v>
      </c>
      <c r="AH1" s="83" t="s">
        <v>64</v>
      </c>
      <c r="AI1" s="83" t="s">
        <v>66</v>
      </c>
      <c r="AJ1" s="83" t="s">
        <v>68</v>
      </c>
      <c r="AK1" s="83" t="s">
        <v>70</v>
      </c>
      <c r="AL1" s="83" t="s">
        <v>72</v>
      </c>
      <c r="AM1" s="83" t="s">
        <v>73</v>
      </c>
      <c r="AN1" s="83" t="s">
        <v>74</v>
      </c>
      <c r="AO1" s="83" t="s">
        <v>75</v>
      </c>
      <c r="AP1" s="83" t="s">
        <v>76</v>
      </c>
      <c r="AQ1" s="83" t="s">
        <v>77</v>
      </c>
      <c r="AR1" s="83" t="s">
        <v>78</v>
      </c>
      <c r="AS1" s="83" t="s">
        <v>79</v>
      </c>
      <c r="AT1" s="83" t="s">
        <v>80</v>
      </c>
      <c r="AU1" s="83" t="s">
        <v>81</v>
      </c>
      <c r="AV1" s="83" t="s">
        <v>82</v>
      </c>
      <c r="AW1" s="83" t="s">
        <v>83</v>
      </c>
      <c r="AX1" s="83" t="s">
        <v>84</v>
      </c>
      <c r="AY1" s="83" t="s">
        <v>85</v>
      </c>
      <c r="AZ1" s="83" t="s">
        <v>87</v>
      </c>
      <c r="BA1" s="83" t="s">
        <v>88</v>
      </c>
      <c r="BB1" s="83" t="s">
        <v>89</v>
      </c>
      <c r="BC1" s="83" t="s">
        <v>90</v>
      </c>
      <c r="BD1" s="83" t="s">
        <v>91</v>
      </c>
      <c r="BE1" s="83" t="s">
        <v>92</v>
      </c>
      <c r="BF1" s="83" t="s">
        <v>93</v>
      </c>
      <c r="BG1" s="83" t="s">
        <v>94</v>
      </c>
      <c r="BH1" s="83" t="s">
        <v>95</v>
      </c>
      <c r="BI1" s="83" t="s">
        <v>96</v>
      </c>
      <c r="BJ1" s="83" t="s">
        <v>97</v>
      </c>
      <c r="BK1" s="83" t="s">
        <v>98</v>
      </c>
      <c r="BL1" s="83" t="s">
        <v>99</v>
      </c>
      <c r="BM1" s="83" t="s">
        <v>100</v>
      </c>
      <c r="BN1" s="83" t="s">
        <v>101</v>
      </c>
      <c r="BO1" s="83" t="s">
        <v>102</v>
      </c>
      <c r="BP1" s="83" t="s">
        <v>103</v>
      </c>
      <c r="BQ1" s="83" t="s">
        <v>104</v>
      </c>
      <c r="BR1" s="83" t="s">
        <v>105</v>
      </c>
      <c r="BS1" s="83" t="s">
        <v>106</v>
      </c>
      <c r="BT1" s="83" t="s">
        <v>107</v>
      </c>
      <c r="BU1" s="83" t="s">
        <v>108</v>
      </c>
      <c r="BV1" s="83" t="s">
        <v>109</v>
      </c>
      <c r="BW1" s="83" t="s">
        <v>110</v>
      </c>
      <c r="BX1" s="83" t="s">
        <v>111</v>
      </c>
      <c r="BY1" s="83" t="s">
        <v>112</v>
      </c>
      <c r="BZ1" s="83" t="s">
        <v>113</v>
      </c>
      <c r="CA1" s="83" t="s">
        <v>114</v>
      </c>
      <c r="CB1" s="83" t="s">
        <v>115</v>
      </c>
      <c r="CC1" s="83" t="s">
        <v>116</v>
      </c>
      <c r="CD1" s="83" t="s">
        <v>117</v>
      </c>
      <c r="CE1" s="83" t="s">
        <v>118</v>
      </c>
      <c r="CF1" s="83" t="s">
        <v>119</v>
      </c>
      <c r="CG1" s="83" t="s">
        <v>120</v>
      </c>
      <c r="CH1" s="83" t="s">
        <v>121</v>
      </c>
      <c r="CI1" s="83" t="s">
        <v>122</v>
      </c>
      <c r="CJ1" s="83" t="s">
        <v>123</v>
      </c>
      <c r="CK1" s="83" t="s">
        <v>124</v>
      </c>
      <c r="CL1" s="83" t="s">
        <v>125</v>
      </c>
      <c r="CM1" s="83" t="s">
        <v>126</v>
      </c>
      <c r="CN1" s="83" t="s">
        <v>127</v>
      </c>
      <c r="CO1" s="83" t="s">
        <v>128</v>
      </c>
      <c r="CP1" s="83" t="s">
        <v>129</v>
      </c>
      <c r="CQ1" s="83" t="s">
        <v>130</v>
      </c>
      <c r="CR1" s="83" t="s">
        <v>131</v>
      </c>
      <c r="CS1" s="83" t="s">
        <v>132</v>
      </c>
      <c r="CT1" s="83" t="s">
        <v>133</v>
      </c>
      <c r="CU1" s="83" t="s">
        <v>134</v>
      </c>
      <c r="CV1" s="83" t="s">
        <v>135</v>
      </c>
      <c r="CW1" s="83" t="s">
        <v>136</v>
      </c>
      <c r="CX1" s="83" t="s">
        <v>19</v>
      </c>
      <c r="CY1" s="83" t="s">
        <v>137</v>
      </c>
      <c r="CZ1" s="83" t="s">
        <v>138</v>
      </c>
      <c r="DA1" s="83" t="s">
        <v>139</v>
      </c>
      <c r="DB1" s="83" t="s">
        <v>8</v>
      </c>
      <c r="DC1" s="83" t="s">
        <v>140</v>
      </c>
      <c r="DD1" s="83" t="s">
        <v>9</v>
      </c>
      <c r="DE1" s="83" t="s">
        <v>141</v>
      </c>
      <c r="DF1" s="83" t="s">
        <v>142</v>
      </c>
      <c r="DG1" s="83" t="s">
        <v>143</v>
      </c>
      <c r="DH1" s="83" t="s">
        <v>144</v>
      </c>
      <c r="DI1" s="83" t="s">
        <v>145</v>
      </c>
      <c r="DJ1" s="83" t="s">
        <v>146</v>
      </c>
      <c r="DK1" s="83" t="s">
        <v>147</v>
      </c>
      <c r="DL1" s="83" t="s">
        <v>148</v>
      </c>
      <c r="DM1" s="83" t="s">
        <v>149</v>
      </c>
      <c r="DN1" s="83" t="s">
        <v>150</v>
      </c>
      <c r="DO1" s="83" t="s">
        <v>151</v>
      </c>
      <c r="DP1" s="83" t="s">
        <v>152</v>
      </c>
      <c r="DQ1" s="83" t="s">
        <v>153</v>
      </c>
      <c r="DR1" s="83" t="s">
        <v>154</v>
      </c>
      <c r="DS1" s="83" t="s">
        <v>155</v>
      </c>
      <c r="DT1" s="83" t="s">
        <v>156</v>
      </c>
      <c r="DU1" s="83" t="s">
        <v>157</v>
      </c>
      <c r="DV1" s="83" t="s">
        <v>158</v>
      </c>
      <c r="DW1" s="83" t="s">
        <v>159</v>
      </c>
      <c r="DX1" s="83" t="s">
        <v>160</v>
      </c>
      <c r="DY1" s="83" t="s">
        <v>161</v>
      </c>
      <c r="DZ1" s="83" t="s">
        <v>162</v>
      </c>
      <c r="EA1" s="83" t="s">
        <v>163</v>
      </c>
      <c r="EB1" s="83" t="s">
        <v>164</v>
      </c>
      <c r="EC1" s="83" t="s">
        <v>165</v>
      </c>
      <c r="ED1" s="83" t="s">
        <v>166</v>
      </c>
      <c r="EE1" s="83" t="s">
        <v>247</v>
      </c>
      <c r="EF1" s="83" t="s">
        <v>167</v>
      </c>
      <c r="EG1" s="83" t="s">
        <v>168</v>
      </c>
      <c r="EH1" s="83" t="s">
        <v>169</v>
      </c>
      <c r="EI1" s="83" t="s">
        <v>170</v>
      </c>
      <c r="EJ1" s="83" t="s">
        <v>172</v>
      </c>
      <c r="EK1" s="83" t="s">
        <v>174</v>
      </c>
      <c r="EL1" s="83" t="s">
        <v>176</v>
      </c>
      <c r="EM1" s="83" t="s">
        <v>177</v>
      </c>
      <c r="EN1" s="83" t="s">
        <v>178</v>
      </c>
      <c r="EO1" s="83" t="s">
        <v>16</v>
      </c>
      <c r="EP1" s="83" t="s">
        <v>14</v>
      </c>
      <c r="EQ1" s="83" t="s">
        <v>18</v>
      </c>
      <c r="ER1" s="83" t="s">
        <v>180</v>
      </c>
      <c r="ES1" s="83" t="s">
        <v>182</v>
      </c>
      <c r="ET1" s="83" t="s">
        <v>184</v>
      </c>
      <c r="EU1" s="83" t="s">
        <v>186</v>
      </c>
      <c r="EV1" s="83" t="s">
        <v>12</v>
      </c>
      <c r="EW1" s="83" t="s">
        <v>187</v>
      </c>
      <c r="EX1" s="83" t="s">
        <v>188</v>
      </c>
      <c r="EY1" s="83" t="s">
        <v>189</v>
      </c>
      <c r="EZ1" s="83" t="s">
        <v>190</v>
      </c>
      <c r="FA1" s="83" t="s">
        <v>191</v>
      </c>
      <c r="FB1" s="83" t="s">
        <v>192</v>
      </c>
      <c r="FC1" s="83" t="s">
        <v>193</v>
      </c>
      <c r="FD1" s="83" t="s">
        <v>194</v>
      </c>
      <c r="FE1" s="83" t="s">
        <v>195</v>
      </c>
      <c r="FF1" s="83" t="s">
        <v>196</v>
      </c>
      <c r="FG1" s="83" t="s">
        <v>197</v>
      </c>
      <c r="FH1" s="83" t="s">
        <v>198</v>
      </c>
      <c r="FI1" s="83" t="s">
        <v>199</v>
      </c>
      <c r="FJ1" s="83" t="s">
        <v>200</v>
      </c>
      <c r="FK1" s="83" t="s">
        <v>201</v>
      </c>
      <c r="FL1" s="83" t="s">
        <v>202</v>
      </c>
      <c r="FM1" s="83" t="s">
        <v>203</v>
      </c>
      <c r="FN1" s="83" t="s">
        <v>204</v>
      </c>
      <c r="FO1" s="83" t="s">
        <v>205</v>
      </c>
      <c r="FP1" s="83" t="s">
        <v>206</v>
      </c>
      <c r="FQ1" s="83" t="s">
        <v>248</v>
      </c>
    </row>
    <row r="2" spans="1:173" s="83" customFormat="1" hidden="1"/>
    <row r="3" spans="1:173" s="83" customFormat="1" hidden="1"/>
    <row r="4" spans="1:173" s="83" customFormat="1" hidden="1"/>
    <row r="5" spans="1:173" s="83" customFormat="1" hidden="1"/>
    <row r="6" spans="1:173" s="83" customFormat="1" hidden="1"/>
    <row r="7" spans="1:173" s="83" customFormat="1" hidden="1"/>
    <row r="8" spans="1:173" s="83" customFormat="1" hidden="1"/>
    <row r="9" spans="1:173" s="83" customFormat="1" hidden="1"/>
    <row r="10" spans="1:173" s="83" customFormat="1" hidden="1"/>
    <row r="11" spans="1:173" hidden="1"/>
    <row r="12" spans="1:173" hidden="1"/>
    <row r="13" spans="1:173" hidden="1"/>
    <row r="14" spans="1:173" hidden="1"/>
    <row r="15" spans="1:173" hidden="1"/>
    <row r="16" spans="1:173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spans="1:173" hidden="1"/>
    <row r="50" spans="1:173" hidden="1"/>
    <row r="51" spans="1:173" hidden="1"/>
    <row r="52" spans="1:173" hidden="1"/>
    <row r="53" spans="1:173" hidden="1"/>
    <row r="54" spans="1:173" hidden="1"/>
    <row r="55" spans="1:173" hidden="1"/>
    <row r="56" spans="1:173" hidden="1">
      <c r="A56" s="82" t="s">
        <v>0</v>
      </c>
      <c r="B56" s="82">
        <v>2412</v>
      </c>
      <c r="C56" s="82" t="s">
        <v>208</v>
      </c>
      <c r="E56" s="82" t="s">
        <v>1</v>
      </c>
      <c r="F56" s="82" t="s">
        <v>256</v>
      </c>
    </row>
    <row r="57" spans="1:173" hidden="1">
      <c r="A57" s="82">
        <v>2412</v>
      </c>
      <c r="B57" s="82" t="s">
        <v>257</v>
      </c>
      <c r="C57" s="82">
        <v>2.89</v>
      </c>
      <c r="D57" s="82">
        <v>1.31</v>
      </c>
      <c r="E57" s="82">
        <v>-1600</v>
      </c>
      <c r="F57" s="82">
        <v>-162</v>
      </c>
      <c r="G57" s="82">
        <v>139</v>
      </c>
      <c r="H57" s="82">
        <v>860</v>
      </c>
      <c r="I57" s="82">
        <v>46.09</v>
      </c>
      <c r="J57" s="82">
        <v>47238</v>
      </c>
      <c r="K57" s="82">
        <v>26100</v>
      </c>
      <c r="L57" s="82">
        <v>21138</v>
      </c>
      <c r="M57" s="82">
        <v>0</v>
      </c>
      <c r="N57" s="82">
        <v>9611</v>
      </c>
      <c r="O57" s="82">
        <v>11527</v>
      </c>
      <c r="P57" s="82">
        <v>176</v>
      </c>
      <c r="Q57" s="82">
        <v>345</v>
      </c>
      <c r="R57" s="82">
        <v>-11</v>
      </c>
      <c r="S57" s="82">
        <v>30</v>
      </c>
      <c r="T57" s="82">
        <v>48</v>
      </c>
      <c r="U57" s="82">
        <v>0</v>
      </c>
      <c r="V57" s="82">
        <v>-45</v>
      </c>
      <c r="W57" s="82">
        <v>63</v>
      </c>
      <c r="X57" s="82">
        <v>607</v>
      </c>
      <c r="Y57" s="82">
        <v>0</v>
      </c>
      <c r="Z57" s="82">
        <v>0</v>
      </c>
      <c r="AA57" s="82">
        <v>0</v>
      </c>
      <c r="AB57" s="82">
        <v>-19</v>
      </c>
      <c r="AC57" s="82">
        <v>0</v>
      </c>
      <c r="AD57" s="82">
        <v>0</v>
      </c>
      <c r="AE57" s="82">
        <v>0</v>
      </c>
      <c r="AF57" s="82">
        <v>8</v>
      </c>
      <c r="AG57" s="82">
        <v>-11</v>
      </c>
      <c r="AH57" s="82">
        <v>618</v>
      </c>
      <c r="AI57" s="82">
        <v>12145</v>
      </c>
      <c r="AJ57" s="82">
        <v>1948</v>
      </c>
      <c r="AK57" s="82">
        <v>10197</v>
      </c>
      <c r="AL57" s="82">
        <v>0</v>
      </c>
      <c r="AM57" s="82">
        <v>0</v>
      </c>
      <c r="AN57" s="82">
        <v>0</v>
      </c>
      <c r="AO57" s="82">
        <v>10197</v>
      </c>
      <c r="AP57" s="82">
        <v>1.31</v>
      </c>
      <c r="AQ57" s="82">
        <v>77574</v>
      </c>
      <c r="AR57" s="82">
        <v>0</v>
      </c>
      <c r="AS57" s="82">
        <v>32911</v>
      </c>
      <c r="AT57" s="82">
        <v>5192</v>
      </c>
      <c r="AU57" s="82">
        <v>23316</v>
      </c>
      <c r="AV57" s="82">
        <v>1156</v>
      </c>
      <c r="AW57" s="82">
        <v>0</v>
      </c>
      <c r="AX57" s="82">
        <v>734</v>
      </c>
      <c r="AY57" s="82" t="s">
        <v>86</v>
      </c>
      <c r="AZ57" s="82">
        <v>8108</v>
      </c>
      <c r="BA57" s="82">
        <v>1837</v>
      </c>
      <c r="BB57" s="82">
        <v>73254</v>
      </c>
      <c r="BC57" s="82">
        <v>31940</v>
      </c>
      <c r="BD57" s="82">
        <v>101432</v>
      </c>
      <c r="BE57" s="82">
        <v>65989</v>
      </c>
      <c r="BF57" s="82">
        <v>676025</v>
      </c>
      <c r="BG57" s="82">
        <v>11252</v>
      </c>
      <c r="BH57" s="82">
        <v>5762</v>
      </c>
      <c r="BI57" s="82">
        <v>-581453</v>
      </c>
      <c r="BJ57" s="82">
        <v>-1257</v>
      </c>
      <c r="BK57" s="82">
        <v>16449</v>
      </c>
      <c r="BL57" s="82">
        <v>294200</v>
      </c>
      <c r="BM57" s="82">
        <v>270</v>
      </c>
      <c r="BN57" s="82">
        <v>5517</v>
      </c>
      <c r="BO57" s="82">
        <v>6508</v>
      </c>
      <c r="BP57" s="82">
        <v>12295</v>
      </c>
      <c r="BQ57" s="82">
        <v>411689</v>
      </c>
      <c r="BR57" s="82">
        <v>0</v>
      </c>
      <c r="BS57" s="82">
        <v>0</v>
      </c>
      <c r="BT57" s="82">
        <v>12032</v>
      </c>
      <c r="BU57" s="82">
        <v>12237</v>
      </c>
      <c r="BV57" s="82">
        <v>9586</v>
      </c>
      <c r="BW57" s="82">
        <v>6207</v>
      </c>
      <c r="BX57" s="82">
        <v>1341</v>
      </c>
      <c r="BY57" s="82">
        <v>0</v>
      </c>
      <c r="BZ57" s="82">
        <v>3128</v>
      </c>
      <c r="CA57" s="82">
        <v>44532</v>
      </c>
      <c r="CB57" s="82">
        <v>0</v>
      </c>
      <c r="CC57" s="82">
        <v>2831</v>
      </c>
      <c r="CD57" s="82">
        <v>1525</v>
      </c>
      <c r="CE57" s="82">
        <v>0</v>
      </c>
      <c r="CF57" s="82">
        <v>95</v>
      </c>
      <c r="CG57" s="82">
        <v>0</v>
      </c>
      <c r="CH57" s="82">
        <v>5161</v>
      </c>
      <c r="CI57" s="82">
        <v>9613</v>
      </c>
      <c r="CJ57" s="82">
        <v>54145</v>
      </c>
      <c r="CK57" s="82">
        <v>357544</v>
      </c>
      <c r="CL57" s="82">
        <v>77574</v>
      </c>
      <c r="CM57" s="82">
        <v>0</v>
      </c>
      <c r="CN57" s="82">
        <v>175303</v>
      </c>
      <c r="CO57" s="82">
        <v>70829</v>
      </c>
      <c r="CP57" s="82">
        <v>2676</v>
      </c>
      <c r="CQ57" s="82">
        <v>30958</v>
      </c>
      <c r="CR57" s="82">
        <v>312</v>
      </c>
      <c r="CS57" s="82">
        <v>411689</v>
      </c>
      <c r="CT57" s="82">
        <v>44.75</v>
      </c>
      <c r="CU57" s="82">
        <v>24.4</v>
      </c>
      <c r="CV57" s="82">
        <v>25.71</v>
      </c>
      <c r="CW57" s="82">
        <v>21.59</v>
      </c>
      <c r="CX57" s="82">
        <v>46.09</v>
      </c>
      <c r="CY57" s="82">
        <v>6.09</v>
      </c>
      <c r="CZ57" s="82">
        <v>1.49</v>
      </c>
      <c r="DA57" s="82">
        <v>1.57</v>
      </c>
      <c r="DB57" s="82">
        <v>2.89</v>
      </c>
      <c r="DC57" s="82">
        <v>2.38</v>
      </c>
      <c r="DD57" s="82">
        <v>1.31</v>
      </c>
      <c r="DE57" s="82">
        <v>-3.68</v>
      </c>
      <c r="DF57" s="82">
        <v>-10.130000000000001</v>
      </c>
      <c r="DG57" s="82">
        <v>-12.7</v>
      </c>
      <c r="DH57" s="82">
        <v>-14.56</v>
      </c>
      <c r="DI57" s="82">
        <v>-0.47</v>
      </c>
      <c r="DJ57" s="82">
        <v>-0.33</v>
      </c>
      <c r="DK57" s="82">
        <v>-0.28000000000000003</v>
      </c>
      <c r="DL57" s="82">
        <v>164.5</v>
      </c>
      <c r="DM57" s="82">
        <v>140.52000000000001</v>
      </c>
      <c r="DN57" s="82">
        <v>13.15</v>
      </c>
      <c r="DO57" s="82">
        <v>0.86848081899999996</v>
      </c>
      <c r="DP57" s="82">
        <v>0</v>
      </c>
      <c r="DQ57" s="82" t="s">
        <v>86</v>
      </c>
      <c r="DR57" s="82">
        <v>2.02</v>
      </c>
      <c r="DS57" s="82">
        <v>44.554455449999999</v>
      </c>
      <c r="DT57" s="82">
        <v>39.950000000000003</v>
      </c>
      <c r="DU57" s="82">
        <v>2.25281602</v>
      </c>
      <c r="DV57" s="82">
        <v>0.16</v>
      </c>
      <c r="DW57" s="82">
        <v>0.11</v>
      </c>
      <c r="DX57" s="82">
        <v>1938</v>
      </c>
      <c r="DY57" s="82">
        <v>0.13</v>
      </c>
      <c r="DZ57" s="82">
        <v>15.14</v>
      </c>
      <c r="EA57" s="82">
        <v>121.53</v>
      </c>
      <c r="EB57" s="82">
        <v>7.7582836000000002E-2</v>
      </c>
      <c r="EC57" s="82">
        <v>1.0801503E-2</v>
      </c>
      <c r="ED57" s="82">
        <v>7.6034536890000002</v>
      </c>
      <c r="EE57" s="82">
        <v>10197</v>
      </c>
      <c r="EF57" s="82">
        <v>7715</v>
      </c>
      <c r="EG57" s="82">
        <v>348</v>
      </c>
      <c r="EH57" s="82">
        <v>-340</v>
      </c>
      <c r="EI57" s="82">
        <v>0</v>
      </c>
      <c r="EJ57" s="82">
        <v>0</v>
      </c>
      <c r="EK57" s="82">
        <v>0</v>
      </c>
      <c r="EL57" s="82">
        <v>-48</v>
      </c>
      <c r="EM57" s="82">
        <v>-38</v>
      </c>
      <c r="EN57" s="82">
        <v>8</v>
      </c>
      <c r="EO57" s="82">
        <v>139</v>
      </c>
      <c r="EP57" s="82">
        <v>-162</v>
      </c>
      <c r="EQ57" s="82">
        <v>860</v>
      </c>
      <c r="ER57" s="82">
        <v>-3548</v>
      </c>
      <c r="ES57" s="82">
        <v>15131</v>
      </c>
      <c r="ET57" s="82">
        <v>-447</v>
      </c>
      <c r="EU57" s="82">
        <v>0</v>
      </c>
      <c r="EV57" s="82">
        <v>-1600</v>
      </c>
      <c r="EW57" s="82">
        <v>0</v>
      </c>
      <c r="EX57" s="82">
        <v>-8014</v>
      </c>
      <c r="EY57" s="82">
        <v>-122</v>
      </c>
      <c r="EZ57" s="82">
        <v>-10183</v>
      </c>
      <c r="FA57" s="82">
        <v>0</v>
      </c>
      <c r="FB57" s="82">
        <v>-42362</v>
      </c>
      <c r="FC57" s="82">
        <v>0</v>
      </c>
      <c r="FD57" s="82">
        <v>0</v>
      </c>
      <c r="FE57" s="82">
        <v>0</v>
      </c>
      <c r="FF57" s="82">
        <v>0</v>
      </c>
      <c r="FG57" s="82">
        <v>0</v>
      </c>
      <c r="FH57" s="82">
        <v>0</v>
      </c>
      <c r="FI57" s="82">
        <v>73</v>
      </c>
      <c r="FJ57" s="82">
        <v>-42289</v>
      </c>
      <c r="FK57" s="82">
        <v>0</v>
      </c>
      <c r="FL57" s="82">
        <v>-37341</v>
      </c>
      <c r="FM57" s="82">
        <v>70251</v>
      </c>
      <c r="FN57" s="82">
        <v>32911</v>
      </c>
      <c r="FO57" s="82">
        <v>0</v>
      </c>
      <c r="FP57" s="82">
        <v>4409</v>
      </c>
      <c r="FQ57" s="82">
        <v>4948</v>
      </c>
    </row>
    <row r="58" spans="1:173" hidden="1">
      <c r="A58" s="82">
        <v>2412</v>
      </c>
      <c r="B58" s="82" t="s">
        <v>238</v>
      </c>
      <c r="C58" s="82">
        <v>3.11</v>
      </c>
      <c r="D58" s="82">
        <v>1.45</v>
      </c>
      <c r="E58" s="82">
        <v>-671</v>
      </c>
      <c r="F58" s="82">
        <v>443</v>
      </c>
      <c r="G58" s="82">
        <v>-2737</v>
      </c>
      <c r="H58" s="82">
        <v>-406</v>
      </c>
      <c r="I58" s="82">
        <v>44.82</v>
      </c>
      <c r="J58" s="82">
        <v>46615</v>
      </c>
      <c r="K58" s="82">
        <v>25530</v>
      </c>
      <c r="L58" s="82">
        <v>21085</v>
      </c>
      <c r="M58" s="82">
        <v>0</v>
      </c>
      <c r="N58" s="82">
        <v>7390</v>
      </c>
      <c r="O58" s="82">
        <v>13694</v>
      </c>
      <c r="P58" s="82">
        <v>203</v>
      </c>
      <c r="Q58" s="82">
        <v>382</v>
      </c>
      <c r="R58" s="82">
        <v>17</v>
      </c>
      <c r="S58" s="82">
        <v>-16</v>
      </c>
      <c r="T58" s="82">
        <v>141</v>
      </c>
      <c r="U58" s="82">
        <v>0</v>
      </c>
      <c r="V58" s="82">
        <v>90</v>
      </c>
      <c r="W58" s="82">
        <v>42</v>
      </c>
      <c r="X58" s="82">
        <v>860</v>
      </c>
      <c r="Y58" s="82">
        <v>0</v>
      </c>
      <c r="Z58" s="82">
        <v>0</v>
      </c>
      <c r="AA58" s="82">
        <v>0</v>
      </c>
      <c r="AB58" s="82">
        <v>25</v>
      </c>
      <c r="AC58" s="82">
        <v>0</v>
      </c>
      <c r="AD58" s="82">
        <v>-7</v>
      </c>
      <c r="AE58" s="82">
        <v>0</v>
      </c>
      <c r="AF58" s="82">
        <v>1273</v>
      </c>
      <c r="AG58" s="82">
        <v>1290</v>
      </c>
      <c r="AH58" s="82">
        <v>-430</v>
      </c>
      <c r="AI58" s="82">
        <v>13264</v>
      </c>
      <c r="AJ58" s="82">
        <v>1993</v>
      </c>
      <c r="AK58" s="82">
        <v>11271</v>
      </c>
      <c r="AL58" s="82">
        <v>0</v>
      </c>
      <c r="AM58" s="82">
        <v>0</v>
      </c>
      <c r="AN58" s="82">
        <v>0</v>
      </c>
      <c r="AO58" s="82">
        <v>11271</v>
      </c>
      <c r="AP58" s="82">
        <v>1.45</v>
      </c>
      <c r="AQ58" s="82">
        <v>77574</v>
      </c>
      <c r="AR58" s="82">
        <v>0</v>
      </c>
      <c r="AS58" s="82">
        <v>70251</v>
      </c>
      <c r="AT58" s="82">
        <v>4544</v>
      </c>
      <c r="AU58" s="82">
        <v>23455</v>
      </c>
      <c r="AV58" s="82">
        <v>590</v>
      </c>
      <c r="AW58" s="82">
        <v>0</v>
      </c>
      <c r="AX58" s="82">
        <v>572</v>
      </c>
      <c r="AY58" s="82" t="s">
        <v>86</v>
      </c>
      <c r="AZ58" s="82">
        <v>7017</v>
      </c>
      <c r="BA58" s="82">
        <v>1803</v>
      </c>
      <c r="BB58" s="82">
        <v>108232</v>
      </c>
      <c r="BC58" s="82">
        <v>31486</v>
      </c>
      <c r="BD58" s="82">
        <v>101432</v>
      </c>
      <c r="BE58" s="82">
        <v>65969</v>
      </c>
      <c r="BF58" s="82">
        <v>674383</v>
      </c>
      <c r="BG58" s="82">
        <v>11171</v>
      </c>
      <c r="BH58" s="82">
        <v>5762</v>
      </c>
      <c r="BI58" s="82">
        <v>-576871</v>
      </c>
      <c r="BJ58" s="82">
        <v>-1257</v>
      </c>
      <c r="BK58" s="82">
        <v>14034</v>
      </c>
      <c r="BL58" s="82">
        <v>294623</v>
      </c>
      <c r="BM58" s="82">
        <v>268</v>
      </c>
      <c r="BN58" s="82">
        <v>5726</v>
      </c>
      <c r="BO58" s="82">
        <v>6532</v>
      </c>
      <c r="BP58" s="82">
        <v>12527</v>
      </c>
      <c r="BQ58" s="82">
        <v>446868</v>
      </c>
      <c r="BR58" s="82">
        <v>0</v>
      </c>
      <c r="BS58" s="82">
        <v>0</v>
      </c>
      <c r="BT58" s="82">
        <v>11171</v>
      </c>
      <c r="BU58" s="82">
        <v>11138</v>
      </c>
      <c r="BV58" s="82">
        <v>10361</v>
      </c>
      <c r="BW58" s="82">
        <v>50043</v>
      </c>
      <c r="BX58" s="82">
        <v>3794</v>
      </c>
      <c r="BY58" s="82">
        <v>0</v>
      </c>
      <c r="BZ58" s="82">
        <v>3098</v>
      </c>
      <c r="CA58" s="82">
        <v>89605</v>
      </c>
      <c r="CB58" s="82">
        <v>0</v>
      </c>
      <c r="CC58" s="82">
        <v>2896</v>
      </c>
      <c r="CD58" s="82">
        <v>1517</v>
      </c>
      <c r="CE58" s="82">
        <v>0</v>
      </c>
      <c r="CF58" s="82">
        <v>95</v>
      </c>
      <c r="CG58" s="82">
        <v>0</v>
      </c>
      <c r="CH58" s="82">
        <v>5087</v>
      </c>
      <c r="CI58" s="82">
        <v>9594</v>
      </c>
      <c r="CJ58" s="82">
        <v>99200</v>
      </c>
      <c r="CK58" s="82">
        <v>347668</v>
      </c>
      <c r="CL58" s="82">
        <v>77574</v>
      </c>
      <c r="CM58" s="82">
        <v>0</v>
      </c>
      <c r="CN58" s="82">
        <v>175302</v>
      </c>
      <c r="CO58" s="82">
        <v>70829</v>
      </c>
      <c r="CP58" s="82">
        <v>2676</v>
      </c>
      <c r="CQ58" s="82">
        <v>20761</v>
      </c>
      <c r="CR58" s="82">
        <v>616</v>
      </c>
      <c r="CS58" s="82">
        <v>446868</v>
      </c>
      <c r="CT58" s="82">
        <v>45.23</v>
      </c>
      <c r="CU58" s="82">
        <v>29.38</v>
      </c>
      <c r="CV58" s="82">
        <v>28.45</v>
      </c>
      <c r="CW58" s="82">
        <v>24.18</v>
      </c>
      <c r="CX58" s="82">
        <v>44.82</v>
      </c>
      <c r="CY58" s="82">
        <v>6.01</v>
      </c>
      <c r="CZ58" s="82">
        <v>1.77</v>
      </c>
      <c r="DA58" s="82">
        <v>1.71</v>
      </c>
      <c r="DB58" s="82">
        <v>3.11</v>
      </c>
      <c r="DC58" s="82">
        <v>2.5499999999999998</v>
      </c>
      <c r="DD58" s="82">
        <v>1.45</v>
      </c>
      <c r="DE58" s="82">
        <v>-2.77</v>
      </c>
      <c r="DF58" s="82">
        <v>-1.98</v>
      </c>
      <c r="DG58" s="82">
        <v>-14.83</v>
      </c>
      <c r="DH58" s="82">
        <v>-15.23</v>
      </c>
      <c r="DI58" s="82">
        <v>0.34</v>
      </c>
      <c r="DJ58" s="82">
        <v>0.26</v>
      </c>
      <c r="DK58" s="82">
        <v>-0.71</v>
      </c>
      <c r="DL58" s="82">
        <v>120.79</v>
      </c>
      <c r="DM58" s="82">
        <v>110.31</v>
      </c>
      <c r="DN58" s="82">
        <v>22.2</v>
      </c>
      <c r="DO58" s="82">
        <v>0.77801050900000002</v>
      </c>
      <c r="DP58" s="82">
        <v>0</v>
      </c>
      <c r="DQ58" s="82">
        <v>-1205813.6399999999</v>
      </c>
      <c r="DR58" s="82">
        <v>2.11</v>
      </c>
      <c r="DS58" s="82">
        <v>42.654028439999998</v>
      </c>
      <c r="DT58" s="82">
        <v>32.159999999999997</v>
      </c>
      <c r="DU58" s="82">
        <v>2.798507463</v>
      </c>
      <c r="DV58" s="82">
        <v>0.16</v>
      </c>
      <c r="DW58" s="82">
        <v>0.11</v>
      </c>
      <c r="DX58" s="82">
        <v>1894</v>
      </c>
      <c r="DY58" s="82">
        <v>0.13</v>
      </c>
      <c r="DZ58" s="82">
        <v>28.53</v>
      </c>
      <c r="EA58" s="82">
        <v>118</v>
      </c>
      <c r="EB58" s="82">
        <v>7.0459285999999996E-2</v>
      </c>
      <c r="EC58" s="82">
        <v>1.2132376E-2</v>
      </c>
      <c r="ED58" s="82">
        <v>4.5047177420000004</v>
      </c>
      <c r="EE58" s="82">
        <v>11271</v>
      </c>
      <c r="EF58" s="82">
        <v>7702</v>
      </c>
      <c r="EG58" s="82">
        <v>337</v>
      </c>
      <c r="EH58" s="82">
        <v>-382</v>
      </c>
      <c r="EI58" s="82">
        <v>0</v>
      </c>
      <c r="EJ58" s="82">
        <v>1930</v>
      </c>
      <c r="EK58" s="82">
        <v>0</v>
      </c>
      <c r="EL58" s="82">
        <v>-141</v>
      </c>
      <c r="EM58" s="82">
        <v>23</v>
      </c>
      <c r="EN58" s="82">
        <v>32</v>
      </c>
      <c r="EO58" s="82">
        <v>-2737</v>
      </c>
      <c r="EP58" s="82">
        <v>443</v>
      </c>
      <c r="EQ58" s="82">
        <v>-406</v>
      </c>
      <c r="ER58" s="82">
        <v>-3593</v>
      </c>
      <c r="ES58" s="82">
        <v>14479</v>
      </c>
      <c r="ET58" s="82">
        <v>485</v>
      </c>
      <c r="EU58" s="82">
        <v>0</v>
      </c>
      <c r="EV58" s="82">
        <v>-671</v>
      </c>
      <c r="EW58" s="82">
        <v>0</v>
      </c>
      <c r="EX58" s="82">
        <v>-7280</v>
      </c>
      <c r="EY58" s="82">
        <v>-359</v>
      </c>
      <c r="EZ58" s="82">
        <v>-7825</v>
      </c>
      <c r="FA58" s="82">
        <v>0</v>
      </c>
      <c r="FB58" s="82">
        <v>0</v>
      </c>
      <c r="FC58" s="82">
        <v>0</v>
      </c>
      <c r="FD58" s="82">
        <v>0</v>
      </c>
      <c r="FE58" s="82">
        <v>0</v>
      </c>
      <c r="FF58" s="82">
        <v>0</v>
      </c>
      <c r="FG58" s="82">
        <v>0</v>
      </c>
      <c r="FH58" s="82">
        <v>0</v>
      </c>
      <c r="FI58" s="82">
        <v>13</v>
      </c>
      <c r="FJ58" s="82">
        <v>13</v>
      </c>
      <c r="FK58" s="82">
        <v>0</v>
      </c>
      <c r="FL58" s="82">
        <v>6667</v>
      </c>
      <c r="FM58" s="82">
        <v>63584</v>
      </c>
      <c r="FN58" s="82">
        <v>70251</v>
      </c>
      <c r="FO58" s="82">
        <v>0</v>
      </c>
      <c r="FP58" s="82">
        <v>3357</v>
      </c>
      <c r="FQ58" s="82">
        <v>6654</v>
      </c>
    </row>
    <row r="59" spans="1:173" hidden="1">
      <c r="A59" s="82">
        <v>2412</v>
      </c>
      <c r="B59" s="82" t="s">
        <v>228</v>
      </c>
      <c r="C59" s="82">
        <v>2.54</v>
      </c>
      <c r="D59" s="82">
        <v>1.22</v>
      </c>
      <c r="E59" s="82">
        <v>-411</v>
      </c>
      <c r="F59" s="82">
        <v>2742</v>
      </c>
      <c r="G59" s="82">
        <v>677</v>
      </c>
      <c r="H59" s="82">
        <v>-2084</v>
      </c>
      <c r="I59" s="82">
        <v>48.77</v>
      </c>
      <c r="J59" s="82">
        <v>47744</v>
      </c>
      <c r="K59" s="82">
        <v>28541</v>
      </c>
      <c r="L59" s="82">
        <v>19204</v>
      </c>
      <c r="M59" s="82">
        <v>0</v>
      </c>
      <c r="N59" s="82">
        <v>8733</v>
      </c>
      <c r="O59" s="82">
        <v>10470</v>
      </c>
      <c r="P59" s="82">
        <v>180</v>
      </c>
      <c r="Q59" s="82">
        <v>559</v>
      </c>
      <c r="R59" s="82">
        <v>27</v>
      </c>
      <c r="S59" s="82">
        <v>16</v>
      </c>
      <c r="T59" s="82">
        <v>12</v>
      </c>
      <c r="U59" s="82">
        <v>0</v>
      </c>
      <c r="V59" s="82">
        <v>0</v>
      </c>
      <c r="W59" s="82">
        <v>69</v>
      </c>
      <c r="X59" s="82">
        <v>864</v>
      </c>
      <c r="Y59" s="82">
        <v>0</v>
      </c>
      <c r="Z59" s="82">
        <v>0</v>
      </c>
      <c r="AA59" s="82">
        <v>0</v>
      </c>
      <c r="AB59" s="82">
        <v>0</v>
      </c>
      <c r="AC59" s="82">
        <v>0</v>
      </c>
      <c r="AD59" s="82">
        <v>7</v>
      </c>
      <c r="AE59" s="82">
        <v>0</v>
      </c>
      <c r="AF59" s="82">
        <v>6</v>
      </c>
      <c r="AG59" s="82">
        <v>14</v>
      </c>
      <c r="AH59" s="82">
        <v>850</v>
      </c>
      <c r="AI59" s="82">
        <v>11321</v>
      </c>
      <c r="AJ59" s="82">
        <v>1831</v>
      </c>
      <c r="AK59" s="82">
        <v>9490</v>
      </c>
      <c r="AL59" s="82">
        <v>0</v>
      </c>
      <c r="AM59" s="82">
        <v>0</v>
      </c>
      <c r="AN59" s="82">
        <v>0</v>
      </c>
      <c r="AO59" s="82">
        <v>9490</v>
      </c>
      <c r="AP59" s="82">
        <v>1.22</v>
      </c>
      <c r="AQ59" s="82">
        <v>77574</v>
      </c>
      <c r="AR59" s="82">
        <v>0</v>
      </c>
      <c r="AS59" s="82">
        <v>63584</v>
      </c>
      <c r="AT59" s="82">
        <v>2671</v>
      </c>
      <c r="AU59" s="82">
        <v>20717</v>
      </c>
      <c r="AV59" s="82">
        <v>138</v>
      </c>
      <c r="AW59" s="82">
        <v>0</v>
      </c>
      <c r="AX59" s="82">
        <v>1015</v>
      </c>
      <c r="AY59" s="82" t="s">
        <v>86</v>
      </c>
      <c r="AZ59" s="82">
        <v>6607</v>
      </c>
      <c r="BA59" s="82">
        <v>1804</v>
      </c>
      <c r="BB59" s="82">
        <v>96536</v>
      </c>
      <c r="BC59" s="82">
        <v>34294</v>
      </c>
      <c r="BD59" s="82">
        <v>101381</v>
      </c>
      <c r="BE59" s="82">
        <v>65959</v>
      </c>
      <c r="BF59" s="82">
        <v>671758</v>
      </c>
      <c r="BG59" s="82">
        <v>10728</v>
      </c>
      <c r="BH59" s="82">
        <v>5762</v>
      </c>
      <c r="BI59" s="82">
        <v>-574043</v>
      </c>
      <c r="BJ59" s="82">
        <v>0</v>
      </c>
      <c r="BK59" s="82">
        <v>13873</v>
      </c>
      <c r="BL59" s="82">
        <v>295417</v>
      </c>
      <c r="BM59" s="82">
        <v>263</v>
      </c>
      <c r="BN59" s="82">
        <v>5767</v>
      </c>
      <c r="BO59" s="82">
        <v>6490</v>
      </c>
      <c r="BP59" s="82">
        <v>12520</v>
      </c>
      <c r="BQ59" s="82">
        <v>438767</v>
      </c>
      <c r="BR59" s="82">
        <v>0</v>
      </c>
      <c r="BS59" s="82">
        <v>0</v>
      </c>
      <c r="BT59" s="82">
        <v>11577</v>
      </c>
      <c r="BU59" s="82">
        <v>13936</v>
      </c>
      <c r="BV59" s="82">
        <v>11512</v>
      </c>
      <c r="BW59" s="82">
        <v>4794</v>
      </c>
      <c r="BX59" s="82">
        <v>5154</v>
      </c>
      <c r="BY59" s="82">
        <v>0</v>
      </c>
      <c r="BZ59" s="82">
        <v>3705</v>
      </c>
      <c r="CA59" s="82">
        <v>50678</v>
      </c>
      <c r="CB59" s="82">
        <v>0</v>
      </c>
      <c r="CC59" s="82">
        <v>3052</v>
      </c>
      <c r="CD59" s="82">
        <v>1486</v>
      </c>
      <c r="CE59" s="82">
        <v>0</v>
      </c>
      <c r="CF59" s="82">
        <v>95</v>
      </c>
      <c r="CG59" s="82">
        <v>0</v>
      </c>
      <c r="CH59" s="82">
        <v>5157</v>
      </c>
      <c r="CI59" s="82">
        <v>9790</v>
      </c>
      <c r="CJ59" s="82">
        <v>60468</v>
      </c>
      <c r="CK59" s="82">
        <v>378299</v>
      </c>
      <c r="CL59" s="82">
        <v>77574</v>
      </c>
      <c r="CM59" s="82">
        <v>0</v>
      </c>
      <c r="CN59" s="82">
        <v>175301</v>
      </c>
      <c r="CO59" s="82">
        <v>66122</v>
      </c>
      <c r="CP59" s="82">
        <v>2676</v>
      </c>
      <c r="CQ59" s="82">
        <v>56558</v>
      </c>
      <c r="CR59" s="82">
        <v>179</v>
      </c>
      <c r="CS59" s="82">
        <v>438767</v>
      </c>
      <c r="CT59" s="82">
        <v>40.22</v>
      </c>
      <c r="CU59" s="82">
        <v>21.93</v>
      </c>
      <c r="CV59" s="82">
        <v>23.71</v>
      </c>
      <c r="CW59" s="82">
        <v>19.88</v>
      </c>
      <c r="CX59" s="82">
        <v>48.77</v>
      </c>
      <c r="CY59" s="82">
        <v>6.15</v>
      </c>
      <c r="CZ59" s="82">
        <v>1.35</v>
      </c>
      <c r="DA59" s="82">
        <v>1.46</v>
      </c>
      <c r="DB59" s="82">
        <v>2.54</v>
      </c>
      <c r="DC59" s="82">
        <v>2.1800000000000002</v>
      </c>
      <c r="DD59" s="82">
        <v>1.22</v>
      </c>
      <c r="DE59" s="82">
        <v>0.34</v>
      </c>
      <c r="DF59" s="82">
        <v>-22.8</v>
      </c>
      <c r="DG59" s="82">
        <v>-19.59</v>
      </c>
      <c r="DH59" s="82">
        <v>-19.82</v>
      </c>
      <c r="DI59" s="82">
        <v>0.97</v>
      </c>
      <c r="DJ59" s="82">
        <v>0.51</v>
      </c>
      <c r="DK59" s="82">
        <v>-0.61</v>
      </c>
      <c r="DL59" s="82">
        <v>190.49</v>
      </c>
      <c r="DM59" s="82">
        <v>171.89</v>
      </c>
      <c r="DN59" s="82">
        <v>13.78</v>
      </c>
      <c r="DO59" s="82">
        <v>0.86218653599999995</v>
      </c>
      <c r="DP59" s="82">
        <v>0</v>
      </c>
      <c r="DQ59" s="82">
        <v>46974.22</v>
      </c>
      <c r="DR59" s="82">
        <v>2.27</v>
      </c>
      <c r="DS59" s="82">
        <v>39.647577089999999</v>
      </c>
      <c r="DT59" s="82">
        <v>11.96</v>
      </c>
      <c r="DU59" s="82">
        <v>7.5250836120000004</v>
      </c>
      <c r="DV59" s="82">
        <v>0.16</v>
      </c>
      <c r="DW59" s="82">
        <v>0.11</v>
      </c>
      <c r="DX59" s="82">
        <v>1937</v>
      </c>
      <c r="DY59" s="82">
        <v>0.13</v>
      </c>
      <c r="DZ59" s="82">
        <v>15.98</v>
      </c>
      <c r="EA59" s="82">
        <v>128.06</v>
      </c>
      <c r="EB59" s="82">
        <v>7.8159935E-2</v>
      </c>
      <c r="EC59" s="82">
        <v>1.6300227E-2</v>
      </c>
      <c r="ED59" s="82">
        <v>7.2561850899999998</v>
      </c>
      <c r="EE59" s="82">
        <v>9490</v>
      </c>
      <c r="EF59" s="82">
        <v>7641</v>
      </c>
      <c r="EG59" s="82">
        <v>327</v>
      </c>
      <c r="EH59" s="82">
        <v>-559</v>
      </c>
      <c r="EI59" s="82">
        <v>0</v>
      </c>
      <c r="EJ59" s="82">
        <v>0</v>
      </c>
      <c r="EK59" s="82">
        <v>0</v>
      </c>
      <c r="EL59" s="82">
        <v>-12</v>
      </c>
      <c r="EM59" s="82">
        <v>-43</v>
      </c>
      <c r="EN59" s="82">
        <v>49</v>
      </c>
      <c r="EO59" s="82">
        <v>677</v>
      </c>
      <c r="EP59" s="82">
        <v>2742</v>
      </c>
      <c r="EQ59" s="82">
        <v>-2084</v>
      </c>
      <c r="ER59" s="82">
        <v>-5517</v>
      </c>
      <c r="ES59" s="82">
        <v>12710</v>
      </c>
      <c r="ET59" s="82">
        <v>-3241</v>
      </c>
      <c r="EU59" s="82">
        <v>0</v>
      </c>
      <c r="EV59" s="82">
        <v>-411</v>
      </c>
      <c r="EW59" s="82">
        <v>20</v>
      </c>
      <c r="EX59" s="82">
        <v>-6576</v>
      </c>
      <c r="EY59" s="82">
        <v>-57</v>
      </c>
      <c r="EZ59" s="82">
        <v>-10265</v>
      </c>
      <c r="FA59" s="82">
        <v>0</v>
      </c>
      <c r="FB59" s="82">
        <v>0</v>
      </c>
      <c r="FC59" s="82">
        <v>0</v>
      </c>
      <c r="FD59" s="82">
        <v>0</v>
      </c>
      <c r="FE59" s="82">
        <v>0</v>
      </c>
      <c r="FF59" s="82">
        <v>0</v>
      </c>
      <c r="FG59" s="82">
        <v>0</v>
      </c>
      <c r="FH59" s="82">
        <v>0</v>
      </c>
      <c r="FI59" s="82">
        <v>-144</v>
      </c>
      <c r="FJ59" s="82">
        <v>-144</v>
      </c>
      <c r="FK59" s="82">
        <v>0</v>
      </c>
      <c r="FL59" s="82">
        <v>2301</v>
      </c>
      <c r="FM59" s="82">
        <v>61283</v>
      </c>
      <c r="FN59" s="82">
        <v>63584</v>
      </c>
      <c r="FO59" s="82">
        <v>7</v>
      </c>
      <c r="FP59" s="82">
        <v>15</v>
      </c>
      <c r="FQ59" s="82">
        <v>2445</v>
      </c>
    </row>
    <row r="60" spans="1:173" hidden="1">
      <c r="A60" s="82">
        <v>2412</v>
      </c>
      <c r="B60" s="82" t="s">
        <v>229</v>
      </c>
      <c r="C60" s="82">
        <v>2.75</v>
      </c>
      <c r="D60" s="82">
        <v>1.28</v>
      </c>
      <c r="E60" s="82">
        <v>-826</v>
      </c>
      <c r="F60" s="82">
        <v>-235</v>
      </c>
      <c r="G60" s="82">
        <v>-704</v>
      </c>
      <c r="H60" s="82">
        <v>3217</v>
      </c>
      <c r="I60" s="82">
        <v>47.53</v>
      </c>
      <c r="J60" s="82">
        <v>47892</v>
      </c>
      <c r="K60" s="82">
        <v>27549</v>
      </c>
      <c r="L60" s="82">
        <v>20343</v>
      </c>
      <c r="M60" s="82">
        <v>0</v>
      </c>
      <c r="N60" s="82">
        <v>9464</v>
      </c>
      <c r="O60" s="82">
        <v>10879</v>
      </c>
      <c r="P60" s="82">
        <v>173</v>
      </c>
      <c r="Q60" s="82">
        <v>522</v>
      </c>
      <c r="R60" s="82">
        <v>-20</v>
      </c>
      <c r="S60" s="82">
        <v>0</v>
      </c>
      <c r="T60" s="82">
        <v>206</v>
      </c>
      <c r="U60" s="82">
        <v>0</v>
      </c>
      <c r="V60" s="82">
        <v>62</v>
      </c>
      <c r="W60" s="82">
        <v>69</v>
      </c>
      <c r="X60" s="82">
        <v>1012</v>
      </c>
      <c r="Y60" s="82">
        <v>0</v>
      </c>
      <c r="Z60" s="82">
        <v>0</v>
      </c>
      <c r="AA60" s="82">
        <v>56</v>
      </c>
      <c r="AB60" s="82">
        <v>14</v>
      </c>
      <c r="AC60" s="82">
        <v>0</v>
      </c>
      <c r="AD60" s="82">
        <v>0</v>
      </c>
      <c r="AE60" s="82">
        <v>0</v>
      </c>
      <c r="AF60" s="82">
        <v>7</v>
      </c>
      <c r="AG60" s="82">
        <v>77</v>
      </c>
      <c r="AH60" s="82">
        <v>935</v>
      </c>
      <c r="AI60" s="82">
        <v>11814</v>
      </c>
      <c r="AJ60" s="82">
        <v>1811</v>
      </c>
      <c r="AK60" s="82">
        <v>10003</v>
      </c>
      <c r="AL60" s="82">
        <v>0</v>
      </c>
      <c r="AM60" s="82">
        <v>0</v>
      </c>
      <c r="AN60" s="82">
        <v>0</v>
      </c>
      <c r="AO60" s="82">
        <v>10003</v>
      </c>
      <c r="AP60" s="82">
        <v>1.28</v>
      </c>
      <c r="AQ60" s="82">
        <v>77893</v>
      </c>
      <c r="AR60" s="82">
        <v>0</v>
      </c>
      <c r="AS60" s="82">
        <v>61283</v>
      </c>
      <c r="AT60" s="82">
        <v>3182</v>
      </c>
      <c r="AU60" s="82">
        <v>21395</v>
      </c>
      <c r="AV60" s="82">
        <v>122</v>
      </c>
      <c r="AW60" s="82">
        <v>0</v>
      </c>
      <c r="AX60" s="82">
        <v>3757</v>
      </c>
      <c r="AY60" s="82" t="s">
        <v>86</v>
      </c>
      <c r="AZ60" s="82">
        <v>1668</v>
      </c>
      <c r="BA60" s="82">
        <v>2212</v>
      </c>
      <c r="BB60" s="82">
        <v>93620</v>
      </c>
      <c r="BC60" s="82">
        <v>29496</v>
      </c>
      <c r="BD60" s="82">
        <v>101387</v>
      </c>
      <c r="BE60" s="82">
        <v>65955</v>
      </c>
      <c r="BF60" s="82">
        <v>668166</v>
      </c>
      <c r="BG60" s="82">
        <v>10661</v>
      </c>
      <c r="BH60" s="82">
        <v>5763</v>
      </c>
      <c r="BI60" s="82">
        <v>-568062</v>
      </c>
      <c r="BJ60" s="82">
        <v>0</v>
      </c>
      <c r="BK60" s="82">
        <v>13459</v>
      </c>
      <c r="BL60" s="82">
        <v>297329</v>
      </c>
      <c r="BM60" s="82">
        <v>255</v>
      </c>
      <c r="BN60" s="82">
        <v>5963</v>
      </c>
      <c r="BO60" s="82">
        <v>6634</v>
      </c>
      <c r="BP60" s="82">
        <v>12852</v>
      </c>
      <c r="BQ60" s="82">
        <v>433298</v>
      </c>
      <c r="BR60" s="82">
        <v>0</v>
      </c>
      <c r="BS60" s="82">
        <v>0</v>
      </c>
      <c r="BT60" s="82">
        <v>13661</v>
      </c>
      <c r="BU60" s="82">
        <v>17165</v>
      </c>
      <c r="BV60" s="82">
        <v>10538</v>
      </c>
      <c r="BW60" s="82">
        <v>7192</v>
      </c>
      <c r="BX60" s="82">
        <v>3336</v>
      </c>
      <c r="BY60" s="82">
        <v>0</v>
      </c>
      <c r="BZ60" s="82">
        <v>2737</v>
      </c>
      <c r="CA60" s="82">
        <v>54630</v>
      </c>
      <c r="CB60" s="82">
        <v>0</v>
      </c>
      <c r="CC60" s="82">
        <v>3117</v>
      </c>
      <c r="CD60" s="82">
        <v>1437</v>
      </c>
      <c r="CE60" s="82">
        <v>0</v>
      </c>
      <c r="CF60" s="82">
        <v>95</v>
      </c>
      <c r="CG60" s="82">
        <v>0</v>
      </c>
      <c r="CH60" s="82">
        <v>5288</v>
      </c>
      <c r="CI60" s="82">
        <v>9937</v>
      </c>
      <c r="CJ60" s="82">
        <v>64567</v>
      </c>
      <c r="CK60" s="82">
        <v>368731</v>
      </c>
      <c r="CL60" s="82">
        <v>77574</v>
      </c>
      <c r="CM60" s="82">
        <v>0</v>
      </c>
      <c r="CN60" s="82">
        <v>175299</v>
      </c>
      <c r="CO60" s="82">
        <v>66122</v>
      </c>
      <c r="CP60" s="82">
        <v>2676</v>
      </c>
      <c r="CQ60" s="82">
        <v>47069</v>
      </c>
      <c r="CR60" s="82">
        <v>68</v>
      </c>
      <c r="CS60" s="82">
        <v>433298</v>
      </c>
      <c r="CT60" s="82">
        <v>42.48</v>
      </c>
      <c r="CU60" s="82">
        <v>22.72</v>
      </c>
      <c r="CV60" s="82">
        <v>24.67</v>
      </c>
      <c r="CW60" s="82">
        <v>20.89</v>
      </c>
      <c r="CX60" s="82">
        <v>47.53</v>
      </c>
      <c r="CY60" s="82">
        <v>6.17</v>
      </c>
      <c r="CZ60" s="82">
        <v>1.4</v>
      </c>
      <c r="DA60" s="82">
        <v>1.52</v>
      </c>
      <c r="DB60" s="82">
        <v>2.75</v>
      </c>
      <c r="DC60" s="82">
        <v>2.36</v>
      </c>
      <c r="DD60" s="82">
        <v>1.28</v>
      </c>
      <c r="DE60" s="82">
        <v>0.17</v>
      </c>
      <c r="DF60" s="82">
        <v>-13.92</v>
      </c>
      <c r="DG60" s="82">
        <v>-5.67</v>
      </c>
      <c r="DH60" s="82">
        <v>-6.2</v>
      </c>
      <c r="DI60" s="82">
        <v>-2.5</v>
      </c>
      <c r="DJ60" s="82">
        <v>1.1399999999999999</v>
      </c>
      <c r="DK60" s="82">
        <v>-1.56</v>
      </c>
      <c r="DL60" s="82">
        <v>171.37</v>
      </c>
      <c r="DM60" s="82">
        <v>157.38999999999999</v>
      </c>
      <c r="DN60" s="82">
        <v>14.9</v>
      </c>
      <c r="DO60" s="82">
        <v>0.85098708000000001</v>
      </c>
      <c r="DP60" s="82">
        <v>0</v>
      </c>
      <c r="DQ60" s="82">
        <v>72925.490000000005</v>
      </c>
      <c r="DR60" s="82">
        <v>2.2799999999999998</v>
      </c>
      <c r="DS60" s="82">
        <v>39.473684210000002</v>
      </c>
      <c r="DT60" s="82">
        <v>7.57</v>
      </c>
      <c r="DU60" s="82">
        <v>11.88903567</v>
      </c>
      <c r="DV60" s="82">
        <v>0.16</v>
      </c>
      <c r="DW60" s="82">
        <v>0.11</v>
      </c>
      <c r="DX60" s="82">
        <v>1942</v>
      </c>
      <c r="DY60" s="82">
        <v>0.13</v>
      </c>
      <c r="DZ60" s="82">
        <v>17.510000000000002</v>
      </c>
      <c r="EA60" s="82">
        <v>124.01</v>
      </c>
      <c r="EB60" s="82">
        <v>6.8073243000000005E-2</v>
      </c>
      <c r="EC60" s="82">
        <v>1.7697315000000002E-2</v>
      </c>
      <c r="ED60" s="82">
        <v>6.7108275129999999</v>
      </c>
      <c r="EE60" s="82">
        <v>10003</v>
      </c>
      <c r="EF60" s="82">
        <v>7733</v>
      </c>
      <c r="EG60" s="82">
        <v>338</v>
      </c>
      <c r="EH60" s="82">
        <v>-520</v>
      </c>
      <c r="EI60" s="82">
        <v>0</v>
      </c>
      <c r="EJ60" s="82">
        <v>0</v>
      </c>
      <c r="EK60" s="82">
        <v>0</v>
      </c>
      <c r="EL60" s="82">
        <v>-206</v>
      </c>
      <c r="EM60" s="82">
        <v>90</v>
      </c>
      <c r="EN60" s="82">
        <v>32</v>
      </c>
      <c r="EO60" s="82">
        <v>-704</v>
      </c>
      <c r="EP60" s="82">
        <v>-235</v>
      </c>
      <c r="EQ60" s="82">
        <v>3217</v>
      </c>
      <c r="ER60" s="82">
        <v>8776</v>
      </c>
      <c r="ES60" s="82">
        <v>28525</v>
      </c>
      <c r="ET60" s="82">
        <v>0</v>
      </c>
      <c r="EU60" s="82">
        <v>0</v>
      </c>
      <c r="EV60" s="82">
        <v>-826</v>
      </c>
      <c r="EW60" s="82">
        <v>1</v>
      </c>
      <c r="EX60" s="82">
        <v>-10198</v>
      </c>
      <c r="EY60" s="82">
        <v>-469</v>
      </c>
      <c r="EZ60" s="82">
        <v>-11493</v>
      </c>
      <c r="FA60" s="82">
        <v>0</v>
      </c>
      <c r="FB60" s="82">
        <v>0</v>
      </c>
      <c r="FC60" s="82">
        <v>0</v>
      </c>
      <c r="FD60" s="82">
        <v>0</v>
      </c>
      <c r="FE60" s="82">
        <v>0</v>
      </c>
      <c r="FF60" s="82">
        <v>0</v>
      </c>
      <c r="FG60" s="82">
        <v>0</v>
      </c>
      <c r="FH60" s="82">
        <v>0</v>
      </c>
      <c r="FI60" s="82">
        <v>-105</v>
      </c>
      <c r="FJ60" s="82">
        <v>-105</v>
      </c>
      <c r="FK60" s="82">
        <v>0</v>
      </c>
      <c r="FL60" s="82">
        <v>16927</v>
      </c>
      <c r="FM60" s="82">
        <v>44356</v>
      </c>
      <c r="FN60" s="82">
        <v>61283</v>
      </c>
      <c r="FO60" s="82">
        <v>0</v>
      </c>
      <c r="FP60" s="82">
        <v>29</v>
      </c>
      <c r="FQ60" s="82">
        <v>17032</v>
      </c>
    </row>
    <row r="61" spans="1:173" hidden="1">
      <c r="A61" s="82">
        <v>2412</v>
      </c>
      <c r="B61" s="82" t="s">
        <v>4</v>
      </c>
      <c r="C61" s="82">
        <v>3.38</v>
      </c>
      <c r="D61" s="82">
        <v>1.53</v>
      </c>
      <c r="E61" s="82">
        <v>-1180</v>
      </c>
      <c r="F61" s="82">
        <v>265</v>
      </c>
      <c r="G61" s="82">
        <v>202</v>
      </c>
      <c r="H61" s="82">
        <v>876</v>
      </c>
      <c r="I61" s="82">
        <v>46.24</v>
      </c>
      <c r="J61" s="82">
        <v>49041</v>
      </c>
      <c r="K61" s="82">
        <v>27472</v>
      </c>
      <c r="L61" s="82">
        <v>21570</v>
      </c>
      <c r="M61" s="82">
        <v>0</v>
      </c>
      <c r="N61" s="82">
        <v>8743</v>
      </c>
      <c r="O61" s="82">
        <v>12827</v>
      </c>
      <c r="P61" s="82">
        <v>172</v>
      </c>
      <c r="Q61" s="82">
        <v>564</v>
      </c>
      <c r="R61" s="82">
        <v>-18</v>
      </c>
      <c r="S61" s="82">
        <v>0</v>
      </c>
      <c r="T61" s="82">
        <v>220</v>
      </c>
      <c r="U61" s="82">
        <v>0</v>
      </c>
      <c r="V61" s="82">
        <v>1</v>
      </c>
      <c r="W61" s="82">
        <v>152</v>
      </c>
      <c r="X61" s="82">
        <v>1090</v>
      </c>
      <c r="Y61" s="82">
        <v>0</v>
      </c>
      <c r="Z61" s="82">
        <v>0</v>
      </c>
      <c r="AA61" s="82">
        <v>0</v>
      </c>
      <c r="AB61" s="82">
        <v>90</v>
      </c>
      <c r="AC61" s="82">
        <v>0</v>
      </c>
      <c r="AD61" s="82">
        <v>-95</v>
      </c>
      <c r="AE61" s="82">
        <v>0</v>
      </c>
      <c r="AF61" s="82">
        <v>10</v>
      </c>
      <c r="AG61" s="82">
        <v>4</v>
      </c>
      <c r="AH61" s="82">
        <v>1086</v>
      </c>
      <c r="AI61" s="82">
        <v>13913</v>
      </c>
      <c r="AJ61" s="82">
        <v>1979</v>
      </c>
      <c r="AK61" s="82">
        <v>11934</v>
      </c>
      <c r="AL61" s="82">
        <v>0</v>
      </c>
      <c r="AM61" s="82">
        <v>0</v>
      </c>
      <c r="AN61" s="82">
        <v>0</v>
      </c>
      <c r="AO61" s="82">
        <v>11934</v>
      </c>
      <c r="AP61" s="82">
        <v>1.53</v>
      </c>
      <c r="AQ61" s="82">
        <v>78001</v>
      </c>
      <c r="AR61" s="82">
        <v>0</v>
      </c>
      <c r="AS61" s="82">
        <v>44356</v>
      </c>
      <c r="AT61" s="82">
        <v>3568</v>
      </c>
      <c r="AU61" s="82">
        <v>20691</v>
      </c>
      <c r="AV61" s="82">
        <v>94</v>
      </c>
      <c r="AW61" s="82">
        <v>0</v>
      </c>
      <c r="AX61" s="82">
        <v>3523</v>
      </c>
      <c r="AY61" s="82" t="s">
        <v>86</v>
      </c>
      <c r="AZ61" s="82">
        <v>3885</v>
      </c>
      <c r="BA61" s="82">
        <v>2227</v>
      </c>
      <c r="BB61" s="82">
        <v>78343</v>
      </c>
      <c r="BC61" s="82">
        <v>27881</v>
      </c>
      <c r="BD61" s="82">
        <v>101272</v>
      </c>
      <c r="BE61" s="82">
        <v>65838</v>
      </c>
      <c r="BF61" s="82">
        <v>660741</v>
      </c>
      <c r="BG61" s="82">
        <v>10377</v>
      </c>
      <c r="BH61" s="82">
        <v>5763</v>
      </c>
      <c r="BI61" s="82">
        <v>-563642</v>
      </c>
      <c r="BJ61" s="82">
        <v>0</v>
      </c>
      <c r="BK61" s="82">
        <v>14210</v>
      </c>
      <c r="BL61" s="82">
        <v>294557</v>
      </c>
      <c r="BM61" s="82">
        <v>408</v>
      </c>
      <c r="BN61" s="82">
        <v>5916</v>
      </c>
      <c r="BO61" s="82">
        <v>6531</v>
      </c>
      <c r="BP61" s="82">
        <v>12855</v>
      </c>
      <c r="BQ61" s="82">
        <v>413637</v>
      </c>
      <c r="BR61" s="82">
        <v>0</v>
      </c>
      <c r="BS61" s="82">
        <v>0</v>
      </c>
      <c r="BT61" s="82">
        <v>10444</v>
      </c>
      <c r="BU61" s="82">
        <v>12544</v>
      </c>
      <c r="BV61" s="82">
        <v>10307</v>
      </c>
      <c r="BW61" s="82">
        <v>6351</v>
      </c>
      <c r="BX61" s="82">
        <v>1761</v>
      </c>
      <c r="BY61" s="82">
        <v>0</v>
      </c>
      <c r="BZ61" s="82">
        <v>3367</v>
      </c>
      <c r="CA61" s="82">
        <v>44775</v>
      </c>
      <c r="CB61" s="82">
        <v>0</v>
      </c>
      <c r="CC61" s="82">
        <v>3293</v>
      </c>
      <c r="CD61" s="82">
        <v>1405</v>
      </c>
      <c r="CE61" s="82">
        <v>0</v>
      </c>
      <c r="CF61" s="82">
        <v>95</v>
      </c>
      <c r="CG61" s="82">
        <v>0</v>
      </c>
      <c r="CH61" s="82">
        <v>5335</v>
      </c>
      <c r="CI61" s="82">
        <v>10127</v>
      </c>
      <c r="CJ61" s="82">
        <v>54902</v>
      </c>
      <c r="CK61" s="82">
        <v>358735</v>
      </c>
      <c r="CL61" s="82">
        <v>77574</v>
      </c>
      <c r="CM61" s="82">
        <v>0</v>
      </c>
      <c r="CN61" s="82">
        <v>175299</v>
      </c>
      <c r="CO61" s="82">
        <v>66122</v>
      </c>
      <c r="CP61" s="82">
        <v>2676</v>
      </c>
      <c r="CQ61" s="82">
        <v>37066</v>
      </c>
      <c r="CR61" s="82">
        <v>64</v>
      </c>
      <c r="CS61" s="82">
        <v>413637</v>
      </c>
      <c r="CT61" s="82">
        <v>43.98</v>
      </c>
      <c r="CU61" s="82">
        <v>26.15</v>
      </c>
      <c r="CV61" s="82">
        <v>28.37</v>
      </c>
      <c r="CW61" s="82">
        <v>24.33</v>
      </c>
      <c r="CX61" s="82">
        <v>46.24</v>
      </c>
      <c r="CY61" s="82">
        <v>6.32</v>
      </c>
      <c r="CZ61" s="82">
        <v>1.65</v>
      </c>
      <c r="DA61" s="82">
        <v>1.78</v>
      </c>
      <c r="DB61" s="82">
        <v>3.38</v>
      </c>
      <c r="DC61" s="82">
        <v>2.78</v>
      </c>
      <c r="DD61" s="82">
        <v>1.53</v>
      </c>
      <c r="DE61" s="82">
        <v>4.72</v>
      </c>
      <c r="DF61" s="82">
        <v>-8.56</v>
      </c>
      <c r="DG61" s="82">
        <v>-1.75</v>
      </c>
      <c r="DH61" s="82">
        <v>-0.16</v>
      </c>
      <c r="DI61" s="82">
        <v>-2.14</v>
      </c>
      <c r="DJ61" s="82">
        <v>-3.79</v>
      </c>
      <c r="DK61" s="82">
        <v>-2.75</v>
      </c>
      <c r="DL61" s="82">
        <v>174.97</v>
      </c>
      <c r="DM61" s="82">
        <v>153.44999999999999</v>
      </c>
      <c r="DN61" s="82">
        <v>13.27</v>
      </c>
      <c r="DO61" s="82">
        <v>0.86727009399999999</v>
      </c>
      <c r="DP61" s="82">
        <v>0</v>
      </c>
      <c r="DQ61" s="82" t="s">
        <v>86</v>
      </c>
      <c r="DR61" s="82">
        <v>2.36</v>
      </c>
      <c r="DS61" s="82">
        <v>38.135593219999997</v>
      </c>
      <c r="DT61" s="82">
        <v>7.52</v>
      </c>
      <c r="DU61" s="82">
        <v>11.968085110000001</v>
      </c>
      <c r="DV61" s="82">
        <v>0.17</v>
      </c>
      <c r="DW61" s="82">
        <v>0.11</v>
      </c>
      <c r="DX61" s="82">
        <v>1991</v>
      </c>
      <c r="DY61" s="82">
        <v>0.14000000000000001</v>
      </c>
      <c r="DZ61" s="82">
        <v>15.3</v>
      </c>
      <c r="EA61" s="82">
        <v>121.79</v>
      </c>
      <c r="EB61" s="82">
        <v>6.7404512E-2</v>
      </c>
      <c r="EC61" s="82">
        <v>2.022883E-2</v>
      </c>
      <c r="ED61" s="82">
        <v>7.5340971190000001</v>
      </c>
      <c r="EE61" s="82">
        <v>11934</v>
      </c>
      <c r="EF61" s="82">
        <v>7636</v>
      </c>
      <c r="EG61" s="82">
        <v>332</v>
      </c>
      <c r="EH61" s="82">
        <v>-551</v>
      </c>
      <c r="EI61" s="82">
        <v>0</v>
      </c>
      <c r="EJ61" s="82">
        <v>-2</v>
      </c>
      <c r="EK61" s="82">
        <v>0</v>
      </c>
      <c r="EL61" s="82">
        <v>-220</v>
      </c>
      <c r="EM61" s="82">
        <v>108</v>
      </c>
      <c r="EN61" s="82">
        <v>30</v>
      </c>
      <c r="EO61" s="82">
        <v>202</v>
      </c>
      <c r="EP61" s="82">
        <v>265</v>
      </c>
      <c r="EQ61" s="82">
        <v>876</v>
      </c>
      <c r="ER61" s="82">
        <v>-829</v>
      </c>
      <c r="ES61" s="82">
        <v>19782</v>
      </c>
      <c r="ET61" s="82">
        <v>-8</v>
      </c>
      <c r="EU61" s="82">
        <v>0</v>
      </c>
      <c r="EV61" s="82">
        <v>-1180</v>
      </c>
      <c r="EW61" s="82">
        <v>0</v>
      </c>
      <c r="EX61" s="82">
        <v>-6516</v>
      </c>
      <c r="EY61" s="82">
        <v>13</v>
      </c>
      <c r="EZ61" s="82">
        <v>-7692</v>
      </c>
      <c r="FA61" s="82">
        <v>0</v>
      </c>
      <c r="FB61" s="82">
        <v>-42854</v>
      </c>
      <c r="FC61" s="82">
        <v>0</v>
      </c>
      <c r="FD61" s="82">
        <v>0</v>
      </c>
      <c r="FE61" s="82">
        <v>0</v>
      </c>
      <c r="FF61" s="82">
        <v>0</v>
      </c>
      <c r="FG61" s="82">
        <v>0</v>
      </c>
      <c r="FH61" s="82">
        <v>0</v>
      </c>
      <c r="FI61" s="82">
        <v>-366</v>
      </c>
      <c r="FJ61" s="82">
        <v>-43220</v>
      </c>
      <c r="FK61" s="82">
        <v>0</v>
      </c>
      <c r="FL61" s="82">
        <v>-31130</v>
      </c>
      <c r="FM61" s="82">
        <v>75486</v>
      </c>
      <c r="FN61" s="82">
        <v>44356</v>
      </c>
      <c r="FO61" s="82">
        <v>0</v>
      </c>
      <c r="FP61" s="82">
        <v>4743</v>
      </c>
      <c r="FQ61" s="82">
        <v>12090</v>
      </c>
    </row>
    <row r="62" spans="1:173" hidden="1">
      <c r="A62" s="82">
        <v>2412</v>
      </c>
      <c r="B62" s="82" t="s">
        <v>5</v>
      </c>
      <c r="C62" s="82">
        <v>3.68</v>
      </c>
      <c r="D62" s="82">
        <v>1.7</v>
      </c>
      <c r="E62" s="82">
        <v>-1610</v>
      </c>
      <c r="F62" s="82">
        <v>-609</v>
      </c>
      <c r="G62" s="82">
        <v>-2466</v>
      </c>
      <c r="H62" s="82">
        <v>1319</v>
      </c>
      <c r="I62" s="82">
        <v>44.7</v>
      </c>
      <c r="J62" s="82">
        <v>47945</v>
      </c>
      <c r="K62" s="82">
        <v>25936</v>
      </c>
      <c r="L62" s="82">
        <v>22009</v>
      </c>
      <c r="M62" s="82">
        <v>0</v>
      </c>
      <c r="N62" s="82">
        <v>8037</v>
      </c>
      <c r="O62" s="82">
        <v>13971</v>
      </c>
      <c r="P62" s="82">
        <v>174</v>
      </c>
      <c r="Q62" s="82">
        <v>862</v>
      </c>
      <c r="R62" s="82">
        <v>2</v>
      </c>
      <c r="S62" s="82">
        <v>0</v>
      </c>
      <c r="T62" s="82">
        <v>463</v>
      </c>
      <c r="U62" s="82">
        <v>0</v>
      </c>
      <c r="V62" s="82">
        <v>0</v>
      </c>
      <c r="W62" s="82">
        <v>63</v>
      </c>
      <c r="X62" s="82">
        <v>1564</v>
      </c>
      <c r="Y62" s="82">
        <v>0</v>
      </c>
      <c r="Z62" s="82">
        <v>0</v>
      </c>
      <c r="AA62" s="82">
        <v>0</v>
      </c>
      <c r="AB62" s="82">
        <v>-13</v>
      </c>
      <c r="AC62" s="82">
        <v>0</v>
      </c>
      <c r="AD62" s="82">
        <v>-30</v>
      </c>
      <c r="AE62" s="82">
        <v>0</v>
      </c>
      <c r="AF62" s="82">
        <v>5</v>
      </c>
      <c r="AG62" s="82">
        <v>-38</v>
      </c>
      <c r="AH62" s="82">
        <v>1602</v>
      </c>
      <c r="AI62" s="82">
        <v>15573</v>
      </c>
      <c r="AJ62" s="82">
        <v>2277</v>
      </c>
      <c r="AK62" s="82">
        <v>13296</v>
      </c>
      <c r="AL62" s="82">
        <v>0</v>
      </c>
      <c r="AM62" s="82">
        <v>0</v>
      </c>
      <c r="AN62" s="82">
        <v>0</v>
      </c>
      <c r="AO62" s="82">
        <v>13296</v>
      </c>
      <c r="AP62" s="82">
        <v>1.7</v>
      </c>
      <c r="AQ62" s="82">
        <v>78217</v>
      </c>
      <c r="AR62" s="82">
        <v>0</v>
      </c>
      <c r="AS62" s="82">
        <v>75486</v>
      </c>
      <c r="AT62" s="82">
        <v>4067</v>
      </c>
      <c r="AU62" s="82">
        <v>20893</v>
      </c>
      <c r="AV62" s="82">
        <v>566</v>
      </c>
      <c r="AW62" s="82">
        <v>0</v>
      </c>
      <c r="AX62" s="82">
        <v>3788</v>
      </c>
      <c r="AY62" s="82" t="s">
        <v>86</v>
      </c>
      <c r="AZ62" s="82">
        <v>3334</v>
      </c>
      <c r="BA62" s="82">
        <v>2420</v>
      </c>
      <c r="BB62" s="82">
        <v>110555</v>
      </c>
      <c r="BC62" s="82">
        <v>25637</v>
      </c>
      <c r="BD62" s="82">
        <v>101260</v>
      </c>
      <c r="BE62" s="82">
        <v>65853</v>
      </c>
      <c r="BF62" s="82">
        <v>659927</v>
      </c>
      <c r="BG62" s="82">
        <v>10606</v>
      </c>
      <c r="BH62" s="82">
        <v>5763</v>
      </c>
      <c r="BI62" s="82">
        <v>-560161</v>
      </c>
      <c r="BJ62" s="82">
        <v>0</v>
      </c>
      <c r="BK62" s="82">
        <v>12549</v>
      </c>
      <c r="BL62" s="82">
        <v>295796</v>
      </c>
      <c r="BM62" s="82">
        <v>403</v>
      </c>
      <c r="BN62" s="82">
        <v>6071</v>
      </c>
      <c r="BO62" s="82">
        <v>6902</v>
      </c>
      <c r="BP62" s="82">
        <v>13376</v>
      </c>
      <c r="BQ62" s="82">
        <v>445365</v>
      </c>
      <c r="BR62" s="82">
        <v>0</v>
      </c>
      <c r="BS62" s="82">
        <v>0</v>
      </c>
      <c r="BT62" s="82">
        <v>9567</v>
      </c>
      <c r="BU62" s="82">
        <v>11341</v>
      </c>
      <c r="BV62" s="82">
        <v>9999</v>
      </c>
      <c r="BW62" s="82">
        <v>49286</v>
      </c>
      <c r="BX62" s="82">
        <v>4528</v>
      </c>
      <c r="BY62" s="82">
        <v>0</v>
      </c>
      <c r="BZ62" s="82">
        <v>3179</v>
      </c>
      <c r="CA62" s="82">
        <v>87901</v>
      </c>
      <c r="CB62" s="82">
        <v>0</v>
      </c>
      <c r="CC62" s="82">
        <v>3544</v>
      </c>
      <c r="CD62" s="82">
        <v>1375</v>
      </c>
      <c r="CE62" s="82">
        <v>0</v>
      </c>
      <c r="CF62" s="82">
        <v>95</v>
      </c>
      <c r="CG62" s="82">
        <v>0</v>
      </c>
      <c r="CH62" s="82">
        <v>5676</v>
      </c>
      <c r="CI62" s="82">
        <v>10690</v>
      </c>
      <c r="CJ62" s="82">
        <v>98591</v>
      </c>
      <c r="CK62" s="82">
        <v>346774</v>
      </c>
      <c r="CL62" s="82">
        <v>77574</v>
      </c>
      <c r="CM62" s="82">
        <v>0</v>
      </c>
      <c r="CN62" s="82">
        <v>175299</v>
      </c>
      <c r="CO62" s="82">
        <v>66122</v>
      </c>
      <c r="CP62" s="82">
        <v>2676</v>
      </c>
      <c r="CQ62" s="82">
        <v>25132</v>
      </c>
      <c r="CR62" s="82">
        <v>115</v>
      </c>
      <c r="CS62" s="82">
        <v>445365</v>
      </c>
      <c r="CT62" s="82">
        <v>45.9</v>
      </c>
      <c r="CU62" s="82">
        <v>29.14</v>
      </c>
      <c r="CV62" s="82">
        <v>32.479999999999997</v>
      </c>
      <c r="CW62" s="82">
        <v>27.73</v>
      </c>
      <c r="CX62" s="82">
        <v>44.7</v>
      </c>
      <c r="CY62" s="82">
        <v>6.18</v>
      </c>
      <c r="CZ62" s="82">
        <v>1.8</v>
      </c>
      <c r="DA62" s="82">
        <v>1.99</v>
      </c>
      <c r="DB62" s="82">
        <v>3.68</v>
      </c>
      <c r="DC62" s="82">
        <v>3.02</v>
      </c>
      <c r="DD62" s="82">
        <v>1.7</v>
      </c>
      <c r="DE62" s="82">
        <v>3.65</v>
      </c>
      <c r="DF62" s="82">
        <v>-4</v>
      </c>
      <c r="DG62" s="82">
        <v>5.24</v>
      </c>
      <c r="DH62" s="82">
        <v>2.82</v>
      </c>
      <c r="DI62" s="82">
        <v>-1.1000000000000001</v>
      </c>
      <c r="DJ62" s="82">
        <v>-3.78</v>
      </c>
      <c r="DK62" s="82">
        <v>-3.37</v>
      </c>
      <c r="DL62" s="82">
        <v>125.77</v>
      </c>
      <c r="DM62" s="82">
        <v>114.92</v>
      </c>
      <c r="DN62" s="82">
        <v>22.14</v>
      </c>
      <c r="DO62" s="82">
        <v>0.778628765</v>
      </c>
      <c r="DP62" s="82">
        <v>0</v>
      </c>
      <c r="DQ62" s="82" t="s">
        <v>86</v>
      </c>
      <c r="DR62" s="82">
        <v>2.44</v>
      </c>
      <c r="DS62" s="82">
        <v>36.885245900000001</v>
      </c>
      <c r="DT62" s="82">
        <v>7.45</v>
      </c>
      <c r="DU62" s="82">
        <v>12.080536909999999</v>
      </c>
      <c r="DV62" s="82">
        <v>0.16</v>
      </c>
      <c r="DW62" s="82">
        <v>0.11</v>
      </c>
      <c r="DX62" s="82">
        <v>1957</v>
      </c>
      <c r="DY62" s="82">
        <v>0.13</v>
      </c>
      <c r="DZ62" s="82">
        <v>28.43</v>
      </c>
      <c r="EA62" s="82">
        <v>117.23</v>
      </c>
      <c r="EB62" s="82">
        <v>5.7564021E-2</v>
      </c>
      <c r="EC62" s="82">
        <v>3.3623278999999999E-2</v>
      </c>
      <c r="ED62" s="82">
        <v>4.5172987390000001</v>
      </c>
      <c r="EE62" s="82">
        <v>13296</v>
      </c>
      <c r="EF62" s="82">
        <v>7597</v>
      </c>
      <c r="EG62" s="82">
        <v>321</v>
      </c>
      <c r="EH62" s="82">
        <v>-862</v>
      </c>
      <c r="EI62" s="82">
        <v>0</v>
      </c>
      <c r="EJ62" s="82">
        <v>535</v>
      </c>
      <c r="EK62" s="82">
        <v>0</v>
      </c>
      <c r="EL62" s="82">
        <v>-463</v>
      </c>
      <c r="EM62" s="82">
        <v>-16</v>
      </c>
      <c r="EN62" s="82">
        <v>48</v>
      </c>
      <c r="EO62" s="82">
        <v>-2466</v>
      </c>
      <c r="EP62" s="82">
        <v>-609</v>
      </c>
      <c r="EQ62" s="82">
        <v>1319</v>
      </c>
      <c r="ER62" s="82">
        <v>-4523</v>
      </c>
      <c r="ES62" s="82">
        <v>14178</v>
      </c>
      <c r="ET62" s="82">
        <v>-873</v>
      </c>
      <c r="EU62" s="82">
        <v>0</v>
      </c>
      <c r="EV62" s="82">
        <v>-1610</v>
      </c>
      <c r="EW62" s="82">
        <v>0</v>
      </c>
      <c r="EX62" s="82">
        <v>-5417</v>
      </c>
      <c r="EY62" s="82">
        <v>-261</v>
      </c>
      <c r="EZ62" s="82">
        <v>-8161</v>
      </c>
      <c r="FA62" s="82">
        <v>0</v>
      </c>
      <c r="FB62" s="82">
        <v>0</v>
      </c>
      <c r="FC62" s="82">
        <v>0</v>
      </c>
      <c r="FD62" s="82">
        <v>0</v>
      </c>
      <c r="FE62" s="82">
        <v>0</v>
      </c>
      <c r="FF62" s="82">
        <v>0</v>
      </c>
      <c r="FG62" s="82">
        <v>0</v>
      </c>
      <c r="FH62" s="82">
        <v>0</v>
      </c>
      <c r="FI62" s="82">
        <v>-359</v>
      </c>
      <c r="FJ62" s="82">
        <v>-359</v>
      </c>
      <c r="FK62" s="82">
        <v>0</v>
      </c>
      <c r="FL62" s="82">
        <v>5657</v>
      </c>
      <c r="FM62" s="82">
        <v>69829</v>
      </c>
      <c r="FN62" s="82">
        <v>75486</v>
      </c>
      <c r="FO62" s="82">
        <v>0</v>
      </c>
      <c r="FP62" s="82">
        <v>4456</v>
      </c>
      <c r="FQ62" s="82">
        <v>6017</v>
      </c>
    </row>
    <row r="63" spans="1:173" hidden="1">
      <c r="A63" s="82">
        <v>2412</v>
      </c>
      <c r="B63" s="82" t="s">
        <v>6</v>
      </c>
      <c r="C63" s="82">
        <v>3.19</v>
      </c>
      <c r="D63" s="82">
        <v>1.5</v>
      </c>
      <c r="E63" s="82">
        <v>-1865</v>
      </c>
      <c r="F63" s="82">
        <v>-262</v>
      </c>
      <c r="G63" s="82">
        <v>-5013</v>
      </c>
      <c r="H63" s="82">
        <v>-2061</v>
      </c>
      <c r="I63" s="82">
        <v>48.52</v>
      </c>
      <c r="J63" s="82">
        <v>47584</v>
      </c>
      <c r="K63" s="82">
        <v>25931</v>
      </c>
      <c r="L63" s="82">
        <v>21653</v>
      </c>
      <c r="M63" s="82">
        <v>0</v>
      </c>
      <c r="N63" s="82">
        <v>8090</v>
      </c>
      <c r="O63" s="82">
        <v>13563</v>
      </c>
      <c r="P63" s="82">
        <v>136</v>
      </c>
      <c r="Q63" s="82">
        <v>165</v>
      </c>
      <c r="R63" s="82">
        <v>36</v>
      </c>
      <c r="S63" s="82">
        <v>0</v>
      </c>
      <c r="T63" s="82">
        <v>319</v>
      </c>
      <c r="U63" s="82">
        <v>0</v>
      </c>
      <c r="V63" s="82">
        <v>0</v>
      </c>
      <c r="W63" s="82">
        <v>29</v>
      </c>
      <c r="X63" s="82">
        <v>685</v>
      </c>
      <c r="Y63" s="82">
        <v>0</v>
      </c>
      <c r="Z63" s="82">
        <v>0</v>
      </c>
      <c r="AA63" s="82">
        <v>0</v>
      </c>
      <c r="AB63" s="82">
        <v>40</v>
      </c>
      <c r="AC63" s="82">
        <v>0</v>
      </c>
      <c r="AD63" s="82">
        <v>125</v>
      </c>
      <c r="AE63" s="82">
        <v>0</v>
      </c>
      <c r="AF63" s="82">
        <v>4</v>
      </c>
      <c r="AG63" s="82">
        <v>169</v>
      </c>
      <c r="AH63" s="82">
        <v>516</v>
      </c>
      <c r="AI63" s="82">
        <v>14079</v>
      </c>
      <c r="AJ63" s="82">
        <v>2244</v>
      </c>
      <c r="AK63" s="82">
        <v>11835</v>
      </c>
      <c r="AL63" s="82">
        <v>0</v>
      </c>
      <c r="AM63" s="82">
        <v>0</v>
      </c>
      <c r="AN63" s="82">
        <v>0</v>
      </c>
      <c r="AO63" s="82">
        <v>11835</v>
      </c>
      <c r="AP63" s="82">
        <v>1.5</v>
      </c>
      <c r="AQ63" s="82">
        <v>78867</v>
      </c>
      <c r="AR63" s="82">
        <v>0</v>
      </c>
      <c r="AS63" s="82">
        <v>69829</v>
      </c>
      <c r="AT63" s="82">
        <v>3087</v>
      </c>
      <c r="AU63" s="82">
        <v>18427</v>
      </c>
      <c r="AV63" s="82">
        <v>60</v>
      </c>
      <c r="AW63" s="82">
        <v>0</v>
      </c>
      <c r="AX63" s="82">
        <v>3179</v>
      </c>
      <c r="AY63" s="82" t="s">
        <v>86</v>
      </c>
      <c r="AZ63" s="82">
        <v>3397</v>
      </c>
      <c r="BA63" s="82">
        <v>2830</v>
      </c>
      <c r="BB63" s="82">
        <v>100809</v>
      </c>
      <c r="BC63" s="82">
        <v>23871</v>
      </c>
      <c r="BD63" s="82">
        <v>101401</v>
      </c>
      <c r="BE63" s="82">
        <v>65726</v>
      </c>
      <c r="BF63" s="82">
        <v>671157</v>
      </c>
      <c r="BG63" s="82">
        <v>10693</v>
      </c>
      <c r="BH63" s="82">
        <v>5763</v>
      </c>
      <c r="BI63" s="82">
        <v>-569184</v>
      </c>
      <c r="BJ63" s="82">
        <v>0</v>
      </c>
      <c r="BK63" s="82">
        <v>11038</v>
      </c>
      <c r="BL63" s="82">
        <v>296594</v>
      </c>
      <c r="BM63" s="82">
        <v>405</v>
      </c>
      <c r="BN63" s="82">
        <v>6228</v>
      </c>
      <c r="BO63" s="82">
        <v>6637</v>
      </c>
      <c r="BP63" s="82">
        <v>13270</v>
      </c>
      <c r="BQ63" s="82">
        <v>434544</v>
      </c>
      <c r="BR63" s="82">
        <v>0</v>
      </c>
      <c r="BS63" s="82">
        <v>0</v>
      </c>
      <c r="BT63" s="82">
        <v>8249</v>
      </c>
      <c r="BU63" s="82">
        <v>14905</v>
      </c>
      <c r="BV63" s="82">
        <v>9427</v>
      </c>
      <c r="BW63" s="82">
        <v>3671</v>
      </c>
      <c r="BX63" s="82">
        <v>6677</v>
      </c>
      <c r="BY63" s="82">
        <v>0</v>
      </c>
      <c r="BZ63" s="82">
        <v>3669</v>
      </c>
      <c r="CA63" s="82">
        <v>46596</v>
      </c>
      <c r="CB63" s="82">
        <v>0</v>
      </c>
      <c r="CC63" s="82">
        <v>4015</v>
      </c>
      <c r="CD63" s="82">
        <v>1327</v>
      </c>
      <c r="CE63" s="82">
        <v>0</v>
      </c>
      <c r="CF63" s="82">
        <v>95</v>
      </c>
      <c r="CG63" s="82">
        <v>0</v>
      </c>
      <c r="CH63" s="82">
        <v>6123</v>
      </c>
      <c r="CI63" s="82">
        <v>11560</v>
      </c>
      <c r="CJ63" s="82">
        <v>58156</v>
      </c>
      <c r="CK63" s="82">
        <v>376388</v>
      </c>
      <c r="CL63" s="82">
        <v>77574</v>
      </c>
      <c r="CM63" s="82">
        <v>0</v>
      </c>
      <c r="CN63" s="82">
        <v>175285</v>
      </c>
      <c r="CO63" s="82">
        <v>61361</v>
      </c>
      <c r="CP63" s="82">
        <v>2676</v>
      </c>
      <c r="CQ63" s="82">
        <v>59451</v>
      </c>
      <c r="CR63" s="82">
        <v>168</v>
      </c>
      <c r="CS63" s="82">
        <v>434544</v>
      </c>
      <c r="CT63" s="82">
        <v>45.5</v>
      </c>
      <c r="CU63" s="82">
        <v>28.5</v>
      </c>
      <c r="CV63" s="82">
        <v>29.59</v>
      </c>
      <c r="CW63" s="82">
        <v>24.87</v>
      </c>
      <c r="CX63" s="82">
        <v>48.52</v>
      </c>
      <c r="CY63" s="82">
        <v>6.13</v>
      </c>
      <c r="CZ63" s="82">
        <v>1.75</v>
      </c>
      <c r="DA63" s="82">
        <v>1.79</v>
      </c>
      <c r="DB63" s="82">
        <v>3.19</v>
      </c>
      <c r="DC63" s="82">
        <v>2.69</v>
      </c>
      <c r="DD63" s="82">
        <v>1.5</v>
      </c>
      <c r="DE63" s="82">
        <v>4.54</v>
      </c>
      <c r="DF63" s="82">
        <v>-6.67</v>
      </c>
      <c r="DG63" s="82">
        <v>-5.86</v>
      </c>
      <c r="DH63" s="82">
        <v>-1.87</v>
      </c>
      <c r="DI63" s="82">
        <v>-1.58</v>
      </c>
      <c r="DJ63" s="82">
        <v>-2.78</v>
      </c>
      <c r="DK63" s="82">
        <v>-4.4000000000000004</v>
      </c>
      <c r="DL63" s="82">
        <v>216.35</v>
      </c>
      <c r="DM63" s="82">
        <v>196.16</v>
      </c>
      <c r="DN63" s="82">
        <v>13.38</v>
      </c>
      <c r="DO63" s="82">
        <v>0.86616775300000004</v>
      </c>
      <c r="DP63" s="82">
        <v>0</v>
      </c>
      <c r="DQ63" s="82">
        <v>234649.23</v>
      </c>
      <c r="DR63" s="82">
        <v>2.99</v>
      </c>
      <c r="DS63" s="82">
        <v>30.100334449999998</v>
      </c>
      <c r="DT63" s="82">
        <v>8.51</v>
      </c>
      <c r="DU63" s="82">
        <v>10.57579318</v>
      </c>
      <c r="DV63" s="82">
        <v>0.16</v>
      </c>
      <c r="DW63" s="82">
        <v>0.11</v>
      </c>
      <c r="DX63" s="82">
        <v>1953</v>
      </c>
      <c r="DY63" s="82">
        <v>0.13</v>
      </c>
      <c r="DZ63" s="82">
        <v>15.45</v>
      </c>
      <c r="EA63" s="82">
        <v>126.9</v>
      </c>
      <c r="EB63" s="82">
        <v>5.4933447000000003E-2</v>
      </c>
      <c r="EC63" s="82">
        <v>6.9121529999999999E-3</v>
      </c>
      <c r="ED63" s="82">
        <v>7.4720407179999997</v>
      </c>
      <c r="EE63" s="82">
        <v>11835</v>
      </c>
      <c r="EF63" s="82">
        <v>7645</v>
      </c>
      <c r="EG63" s="82">
        <v>312</v>
      </c>
      <c r="EH63" s="82">
        <v>-165</v>
      </c>
      <c r="EI63" s="82">
        <v>0</v>
      </c>
      <c r="EJ63" s="82">
        <v>0</v>
      </c>
      <c r="EK63" s="82">
        <v>0</v>
      </c>
      <c r="EL63" s="82">
        <v>-319</v>
      </c>
      <c r="EM63" s="82">
        <v>4</v>
      </c>
      <c r="EN63" s="82">
        <v>44</v>
      </c>
      <c r="EO63" s="82">
        <v>-5013</v>
      </c>
      <c r="EP63" s="82">
        <v>-262</v>
      </c>
      <c r="EQ63" s="82">
        <v>-2061</v>
      </c>
      <c r="ER63" s="82">
        <v>-2213</v>
      </c>
      <c r="ES63" s="82">
        <v>9808</v>
      </c>
      <c r="ET63" s="82">
        <v>32</v>
      </c>
      <c r="EU63" s="82">
        <v>816</v>
      </c>
      <c r="EV63" s="82">
        <v>-1865</v>
      </c>
      <c r="EW63" s="82">
        <v>648</v>
      </c>
      <c r="EX63" s="82">
        <v>-4353</v>
      </c>
      <c r="EY63" s="82">
        <v>-558</v>
      </c>
      <c r="EZ63" s="82">
        <v>-5281</v>
      </c>
      <c r="FA63" s="82">
        <v>-19394</v>
      </c>
      <c r="FB63" s="82">
        <v>0</v>
      </c>
      <c r="FC63" s="82">
        <v>0</v>
      </c>
      <c r="FD63" s="82">
        <v>0</v>
      </c>
      <c r="FE63" s="82">
        <v>0</v>
      </c>
      <c r="FF63" s="82">
        <v>0</v>
      </c>
      <c r="FG63" s="82">
        <v>0</v>
      </c>
      <c r="FH63" s="82">
        <v>0</v>
      </c>
      <c r="FI63" s="82">
        <v>-5</v>
      </c>
      <c r="FJ63" s="82">
        <v>-19398</v>
      </c>
      <c r="FK63" s="82">
        <v>0</v>
      </c>
      <c r="FL63" s="82">
        <v>-14871</v>
      </c>
      <c r="FM63" s="82">
        <v>84701</v>
      </c>
      <c r="FN63" s="82">
        <v>69829</v>
      </c>
      <c r="FO63" s="82">
        <v>0</v>
      </c>
      <c r="FP63" s="82">
        <v>13</v>
      </c>
      <c r="FQ63" s="82">
        <v>4527</v>
      </c>
    </row>
    <row r="64" spans="1:173" hidden="1">
      <c r="A64" s="82">
        <v>2412</v>
      </c>
      <c r="B64" s="82" t="s">
        <v>7</v>
      </c>
      <c r="C64" s="82">
        <v>2.89</v>
      </c>
      <c r="D64" s="82">
        <v>1.1000000000000001</v>
      </c>
      <c r="E64" s="82">
        <v>-1812</v>
      </c>
      <c r="F64" s="82">
        <v>-135</v>
      </c>
      <c r="G64" s="82">
        <v>-617</v>
      </c>
      <c r="H64" s="82">
        <v>2925</v>
      </c>
      <c r="I64" s="82">
        <v>47</v>
      </c>
      <c r="J64" s="82">
        <v>47808</v>
      </c>
      <c r="K64" s="82">
        <v>26532</v>
      </c>
      <c r="L64" s="82">
        <v>21276</v>
      </c>
      <c r="M64" s="82">
        <v>0</v>
      </c>
      <c r="N64" s="82">
        <v>8637</v>
      </c>
      <c r="O64" s="82">
        <v>12639</v>
      </c>
      <c r="P64" s="82">
        <v>133</v>
      </c>
      <c r="Q64" s="82">
        <v>244</v>
      </c>
      <c r="R64" s="82">
        <v>0</v>
      </c>
      <c r="S64" s="82">
        <v>-8</v>
      </c>
      <c r="T64" s="82">
        <v>0</v>
      </c>
      <c r="U64" s="82">
        <v>0</v>
      </c>
      <c r="V64" s="82">
        <v>-23</v>
      </c>
      <c r="W64" s="82">
        <v>55</v>
      </c>
      <c r="X64" s="82">
        <v>401</v>
      </c>
      <c r="Y64" s="82">
        <v>0</v>
      </c>
      <c r="Z64" s="82">
        <v>0</v>
      </c>
      <c r="AA64" s="82">
        <v>283</v>
      </c>
      <c r="AB64" s="82">
        <v>12</v>
      </c>
      <c r="AC64" s="82">
        <v>198</v>
      </c>
      <c r="AD64" s="82">
        <v>0</v>
      </c>
      <c r="AE64" s="82">
        <v>0</v>
      </c>
      <c r="AF64" s="82">
        <v>23</v>
      </c>
      <c r="AG64" s="82">
        <v>516</v>
      </c>
      <c r="AH64" s="82">
        <v>-115</v>
      </c>
      <c r="AI64" s="82">
        <v>12524</v>
      </c>
      <c r="AJ64" s="82">
        <v>1859</v>
      </c>
      <c r="AK64" s="82">
        <v>10665</v>
      </c>
      <c r="AL64" s="82">
        <v>0</v>
      </c>
      <c r="AM64" s="82">
        <v>0</v>
      </c>
      <c r="AN64" s="82">
        <v>0</v>
      </c>
      <c r="AO64" s="82">
        <v>10665</v>
      </c>
      <c r="AP64" s="82">
        <v>1.1000000000000001</v>
      </c>
      <c r="AQ64" s="82">
        <v>96968</v>
      </c>
      <c r="AR64" s="82">
        <v>0</v>
      </c>
      <c r="AS64" s="82">
        <v>84701</v>
      </c>
      <c r="AT64" s="82">
        <v>3028</v>
      </c>
      <c r="AU64" s="82">
        <v>13415</v>
      </c>
      <c r="AV64" s="82">
        <v>440</v>
      </c>
      <c r="AW64" s="82">
        <v>0</v>
      </c>
      <c r="AX64" s="82">
        <v>2917</v>
      </c>
      <c r="AY64" s="82" t="s">
        <v>86</v>
      </c>
      <c r="AZ64" s="82">
        <v>1448</v>
      </c>
      <c r="BA64" s="82">
        <v>1952</v>
      </c>
      <c r="BB64" s="82">
        <v>107901</v>
      </c>
      <c r="BC64" s="82">
        <v>22780</v>
      </c>
      <c r="BD64" s="82">
        <v>101709</v>
      </c>
      <c r="BE64" s="82">
        <v>65721</v>
      </c>
      <c r="BF64" s="82">
        <v>670313</v>
      </c>
      <c r="BG64" s="82">
        <v>10895</v>
      </c>
      <c r="BH64" s="82">
        <v>5801</v>
      </c>
      <c r="BI64" s="82">
        <v>-565757</v>
      </c>
      <c r="BJ64" s="82">
        <v>0</v>
      </c>
      <c r="BK64" s="82">
        <v>12015</v>
      </c>
      <c r="BL64" s="82">
        <v>300697</v>
      </c>
      <c r="BM64" s="82">
        <v>398</v>
      </c>
      <c r="BN64" s="82">
        <v>6436</v>
      </c>
      <c r="BO64" s="82">
        <v>6175</v>
      </c>
      <c r="BP64" s="82">
        <v>13009</v>
      </c>
      <c r="BQ64" s="82">
        <v>444387</v>
      </c>
      <c r="BR64" s="82">
        <v>0</v>
      </c>
      <c r="BS64" s="82">
        <v>0</v>
      </c>
      <c r="BT64" s="82">
        <v>10310</v>
      </c>
      <c r="BU64" s="82">
        <v>17262</v>
      </c>
      <c r="BV64" s="82">
        <v>7966</v>
      </c>
      <c r="BW64" s="82">
        <v>25935</v>
      </c>
      <c r="BX64" s="82">
        <v>4412</v>
      </c>
      <c r="BY64" s="82">
        <v>0</v>
      </c>
      <c r="BZ64" s="82">
        <v>2396</v>
      </c>
      <c r="CA64" s="82">
        <v>68281</v>
      </c>
      <c r="CB64" s="82">
        <v>0</v>
      </c>
      <c r="CC64" s="82">
        <v>4029</v>
      </c>
      <c r="CD64" s="82">
        <v>1283</v>
      </c>
      <c r="CE64" s="82">
        <v>0</v>
      </c>
      <c r="CF64" s="82">
        <v>95</v>
      </c>
      <c r="CG64" s="82">
        <v>0</v>
      </c>
      <c r="CH64" s="82">
        <v>6121</v>
      </c>
      <c r="CI64" s="82">
        <v>11527</v>
      </c>
      <c r="CJ64" s="82">
        <v>79808</v>
      </c>
      <c r="CK64" s="82">
        <v>364579</v>
      </c>
      <c r="CL64" s="82">
        <v>77574</v>
      </c>
      <c r="CM64" s="82">
        <v>0</v>
      </c>
      <c r="CN64" s="82">
        <v>175318</v>
      </c>
      <c r="CO64" s="82">
        <v>61361</v>
      </c>
      <c r="CP64" s="82">
        <v>2676</v>
      </c>
      <c r="CQ64" s="82">
        <v>47616</v>
      </c>
      <c r="CR64" s="82">
        <v>176</v>
      </c>
      <c r="CS64" s="82">
        <v>444387</v>
      </c>
      <c r="CT64" s="82">
        <v>44.5</v>
      </c>
      <c r="CU64" s="82">
        <v>26.44</v>
      </c>
      <c r="CV64" s="82">
        <v>26.2</v>
      </c>
      <c r="CW64" s="82">
        <v>22.31</v>
      </c>
      <c r="CX64" s="82">
        <v>47</v>
      </c>
      <c r="CY64" s="82">
        <v>6.16</v>
      </c>
      <c r="CZ64" s="82">
        <v>1.63</v>
      </c>
      <c r="DA64" s="82">
        <v>1.29</v>
      </c>
      <c r="DB64" s="82">
        <v>2.89</v>
      </c>
      <c r="DC64" s="82">
        <v>2.46</v>
      </c>
      <c r="DD64" s="82">
        <v>1.1000000000000001</v>
      </c>
      <c r="DE64" s="82">
        <v>0.77</v>
      </c>
      <c r="DF64" s="82">
        <v>-2.7</v>
      </c>
      <c r="DG64" s="82">
        <v>-5.85</v>
      </c>
      <c r="DH64" s="82">
        <v>0.81</v>
      </c>
      <c r="DI64" s="82">
        <v>0.28000000000000003</v>
      </c>
      <c r="DJ64" s="82">
        <v>-2.83</v>
      </c>
      <c r="DK64" s="82">
        <v>-5.04</v>
      </c>
      <c r="DL64" s="82">
        <v>158.03</v>
      </c>
      <c r="DM64" s="82">
        <v>148.77000000000001</v>
      </c>
      <c r="DN64" s="82">
        <v>17.96</v>
      </c>
      <c r="DO64" s="82">
        <v>0.82040878800000006</v>
      </c>
      <c r="DP64" s="82">
        <v>0</v>
      </c>
      <c r="DQ64" s="82">
        <v>-894558.86</v>
      </c>
      <c r="DR64" s="82">
        <v>3.65</v>
      </c>
      <c r="DS64" s="82">
        <v>24.657534250000001</v>
      </c>
      <c r="DT64" s="82">
        <v>9.31</v>
      </c>
      <c r="DU64" s="82">
        <v>9.6670247049999993</v>
      </c>
      <c r="DV64" s="82">
        <v>0.16</v>
      </c>
      <c r="DW64" s="82">
        <v>0.11</v>
      </c>
      <c r="DX64" s="82">
        <v>1953</v>
      </c>
      <c r="DY64" s="82">
        <v>0.13</v>
      </c>
      <c r="DZ64" s="82">
        <v>21.89</v>
      </c>
      <c r="EA64" s="82">
        <v>121.24</v>
      </c>
      <c r="EB64" s="82">
        <v>5.1261625999999998E-2</v>
      </c>
      <c r="EC64" s="82">
        <v>1.0711149999999999E-2</v>
      </c>
      <c r="ED64" s="82">
        <v>5.5682011830000002</v>
      </c>
      <c r="EE64" s="82">
        <v>10665</v>
      </c>
      <c r="EF64" s="82">
        <v>7929</v>
      </c>
      <c r="EG64" s="82">
        <v>304</v>
      </c>
      <c r="EH64" s="82">
        <v>-244</v>
      </c>
      <c r="EI64" s="82">
        <v>0</v>
      </c>
      <c r="EJ64" s="82">
        <v>0</v>
      </c>
      <c r="EK64" s="82">
        <v>0</v>
      </c>
      <c r="EL64" s="82">
        <v>198</v>
      </c>
      <c r="EM64" s="82">
        <v>303</v>
      </c>
      <c r="EN64" s="82">
        <v>20</v>
      </c>
      <c r="EO64" s="82">
        <v>-617</v>
      </c>
      <c r="EP64" s="82">
        <v>-135</v>
      </c>
      <c r="EQ64" s="82">
        <v>2925</v>
      </c>
      <c r="ER64" s="82">
        <v>10777</v>
      </c>
      <c r="ES64" s="82">
        <v>32125</v>
      </c>
      <c r="ET64" s="82">
        <v>3027</v>
      </c>
      <c r="EU64" s="82">
        <v>0</v>
      </c>
      <c r="EV64" s="82">
        <v>-1812</v>
      </c>
      <c r="EW64" s="82">
        <v>5</v>
      </c>
      <c r="EX64" s="82">
        <v>-8891</v>
      </c>
      <c r="EY64" s="82">
        <v>-773</v>
      </c>
      <c r="EZ64" s="82">
        <v>-8444</v>
      </c>
      <c r="FA64" s="82">
        <v>0</v>
      </c>
      <c r="FB64" s="82">
        <v>0</v>
      </c>
      <c r="FC64" s="82">
        <v>0</v>
      </c>
      <c r="FD64" s="82">
        <v>0</v>
      </c>
      <c r="FE64" s="82">
        <v>0</v>
      </c>
      <c r="FF64" s="82">
        <v>0</v>
      </c>
      <c r="FG64" s="82">
        <v>0</v>
      </c>
      <c r="FH64" s="82">
        <v>0</v>
      </c>
      <c r="FI64" s="82">
        <v>-13</v>
      </c>
      <c r="FJ64" s="82">
        <v>-13</v>
      </c>
      <c r="FK64" s="82">
        <v>0</v>
      </c>
      <c r="FL64" s="82">
        <v>23667</v>
      </c>
      <c r="FM64" s="82">
        <v>61033</v>
      </c>
      <c r="FN64" s="82">
        <v>84701</v>
      </c>
      <c r="FO64" s="82">
        <v>0</v>
      </c>
      <c r="FP64" s="82">
        <v>15</v>
      </c>
      <c r="FQ64" s="82">
        <v>23681</v>
      </c>
    </row>
    <row r="65" spans="1:173" hidden="1">
      <c r="A65" s="82" t="s">
        <v>0</v>
      </c>
      <c r="B65" s="82">
        <v>2330</v>
      </c>
      <c r="C65" s="82" t="s">
        <v>259</v>
      </c>
      <c r="E65" s="82" t="s">
        <v>1</v>
      </c>
      <c r="F65" s="82" t="s">
        <v>260</v>
      </c>
    </row>
    <row r="66" spans="1:173" hidden="1">
      <c r="A66" s="82">
        <v>2330</v>
      </c>
      <c r="B66" s="82" t="s">
        <v>257</v>
      </c>
      <c r="C66" s="82">
        <v>7.57</v>
      </c>
      <c r="D66" s="82">
        <v>1.9</v>
      </c>
      <c r="E66" s="82">
        <v>-71</v>
      </c>
      <c r="F66" s="82">
        <v>-2376</v>
      </c>
      <c r="G66" s="82">
        <v>-4228</v>
      </c>
      <c r="H66" s="82">
        <v>-347</v>
      </c>
      <c r="I66" s="82">
        <v>26.02</v>
      </c>
      <c r="J66" s="82">
        <v>139637</v>
      </c>
      <c r="K66" s="82">
        <v>73471</v>
      </c>
      <c r="L66" s="82">
        <v>66166</v>
      </c>
      <c r="M66" s="82">
        <v>10</v>
      </c>
      <c r="N66" s="82">
        <v>15106</v>
      </c>
      <c r="O66" s="82">
        <v>51070</v>
      </c>
      <c r="P66" s="82">
        <v>162</v>
      </c>
      <c r="Q66" s="82">
        <v>2328</v>
      </c>
      <c r="R66" s="82">
        <v>0</v>
      </c>
      <c r="S66" s="82">
        <v>117</v>
      </c>
      <c r="T66" s="82">
        <v>0</v>
      </c>
      <c r="U66" s="82">
        <v>0</v>
      </c>
      <c r="V66" s="82">
        <v>-214</v>
      </c>
      <c r="W66" s="82">
        <v>188</v>
      </c>
      <c r="X66" s="82">
        <v>2581</v>
      </c>
      <c r="Y66" s="82">
        <v>258</v>
      </c>
      <c r="Z66" s="82">
        <v>0</v>
      </c>
      <c r="AA66" s="82">
        <v>0</v>
      </c>
      <c r="AB66" s="82">
        <v>-150</v>
      </c>
      <c r="AC66" s="82">
        <v>38</v>
      </c>
      <c r="AD66" s="82">
        <v>17</v>
      </c>
      <c r="AE66" s="82">
        <v>0</v>
      </c>
      <c r="AF66" s="82">
        <v>5</v>
      </c>
      <c r="AG66" s="82">
        <v>168</v>
      </c>
      <c r="AH66" s="82">
        <v>2413</v>
      </c>
      <c r="AI66" s="82">
        <v>53483</v>
      </c>
      <c r="AJ66" s="82">
        <v>4181</v>
      </c>
      <c r="AK66" s="82">
        <v>49303</v>
      </c>
      <c r="AL66" s="82">
        <v>0</v>
      </c>
      <c r="AM66" s="82">
        <v>0</v>
      </c>
      <c r="AN66" s="82">
        <v>0</v>
      </c>
      <c r="AO66" s="82">
        <v>49303</v>
      </c>
      <c r="AP66" s="82">
        <v>1.9</v>
      </c>
      <c r="AQ66" s="82">
        <v>259199</v>
      </c>
      <c r="AR66" s="82">
        <v>0</v>
      </c>
      <c r="AS66" s="82">
        <v>76018</v>
      </c>
      <c r="AT66" s="82">
        <v>2373</v>
      </c>
      <c r="AU66" s="82">
        <v>57536</v>
      </c>
      <c r="AV66" s="82">
        <v>241</v>
      </c>
      <c r="AW66" s="82">
        <v>0</v>
      </c>
      <c r="AX66" s="82">
        <v>30805</v>
      </c>
      <c r="AY66" s="82" t="s">
        <v>86</v>
      </c>
      <c r="AZ66" s="82">
        <v>0</v>
      </c>
      <c r="BA66" s="82">
        <v>4482</v>
      </c>
      <c r="BB66" s="82">
        <v>171455</v>
      </c>
      <c r="BC66" s="82">
        <v>133204</v>
      </c>
      <c r="BD66" s="82">
        <v>0</v>
      </c>
      <c r="BE66" s="82">
        <v>171984</v>
      </c>
      <c r="BF66" s="82">
        <v>1185756</v>
      </c>
      <c r="BG66" s="82">
        <v>15989</v>
      </c>
      <c r="BH66" s="82">
        <v>0</v>
      </c>
      <c r="BI66" s="82">
        <v>-891718</v>
      </c>
      <c r="BJ66" s="82">
        <v>0</v>
      </c>
      <c r="BK66" s="82">
        <v>65763</v>
      </c>
      <c r="BL66" s="82">
        <v>547773</v>
      </c>
      <c r="BM66" s="82">
        <v>8058</v>
      </c>
      <c r="BN66" s="82">
        <v>1568</v>
      </c>
      <c r="BO66" s="82">
        <v>7985</v>
      </c>
      <c r="BP66" s="82">
        <v>17611</v>
      </c>
      <c r="BQ66" s="82">
        <v>870043</v>
      </c>
      <c r="BR66" s="82">
        <v>29750</v>
      </c>
      <c r="BS66" s="82">
        <v>0</v>
      </c>
      <c r="BT66" s="82">
        <v>16114</v>
      </c>
      <c r="BU66" s="82">
        <v>27022</v>
      </c>
      <c r="BV66" s="82">
        <v>0</v>
      </c>
      <c r="BW66" s="82">
        <v>32004</v>
      </c>
      <c r="BX66" s="82">
        <v>10821</v>
      </c>
      <c r="BY66" s="82">
        <v>0</v>
      </c>
      <c r="BZ66" s="82">
        <v>4</v>
      </c>
      <c r="CA66" s="82">
        <v>115714</v>
      </c>
      <c r="CB66" s="82">
        <v>75654</v>
      </c>
      <c r="CC66" s="82">
        <v>0</v>
      </c>
      <c r="CD66" s="82">
        <v>3907</v>
      </c>
      <c r="CE66" s="82">
        <v>0</v>
      </c>
      <c r="CF66" s="82">
        <v>0</v>
      </c>
      <c r="CG66" s="82">
        <v>0</v>
      </c>
      <c r="CH66" s="82">
        <v>225</v>
      </c>
      <c r="CI66" s="82">
        <v>4132</v>
      </c>
      <c r="CJ66" s="82">
        <v>195500</v>
      </c>
      <c r="CK66" s="82">
        <v>674543</v>
      </c>
      <c r="CL66" s="82">
        <v>259220</v>
      </c>
      <c r="CM66" s="82">
        <v>0</v>
      </c>
      <c r="CN66" s="82">
        <v>56074</v>
      </c>
      <c r="CO66" s="82">
        <v>115820</v>
      </c>
      <c r="CP66" s="82">
        <v>7606</v>
      </c>
      <c r="CQ66" s="82">
        <v>245606</v>
      </c>
      <c r="CR66" s="82">
        <v>268</v>
      </c>
      <c r="CS66" s="82">
        <v>870043</v>
      </c>
      <c r="CT66" s="82">
        <v>47.38</v>
      </c>
      <c r="CU66" s="82">
        <v>36.57</v>
      </c>
      <c r="CV66" s="82">
        <v>38.299999999999997</v>
      </c>
      <c r="CW66" s="82">
        <v>35.31</v>
      </c>
      <c r="CX66" s="82">
        <v>26.02</v>
      </c>
      <c r="CY66" s="82">
        <v>5.39</v>
      </c>
      <c r="CZ66" s="82">
        <v>1.97</v>
      </c>
      <c r="DA66" s="82">
        <v>2.06</v>
      </c>
      <c r="DB66" s="82">
        <v>7.57</v>
      </c>
      <c r="DC66" s="82">
        <v>5.68</v>
      </c>
      <c r="DD66" s="82">
        <v>1.9</v>
      </c>
      <c r="DE66" s="82">
        <v>33.22</v>
      </c>
      <c r="DF66" s="82">
        <v>63.51</v>
      </c>
      <c r="DG66" s="82">
        <v>66.400000000000006</v>
      </c>
      <c r="DH66" s="82">
        <v>62.21</v>
      </c>
      <c r="DI66" s="82">
        <v>19.3</v>
      </c>
      <c r="DJ66" s="82">
        <v>12.68</v>
      </c>
      <c r="DK66" s="82">
        <v>25.24</v>
      </c>
      <c r="DL66" s="82">
        <v>148.16999999999999</v>
      </c>
      <c r="DM66" s="82">
        <v>117.68</v>
      </c>
      <c r="DN66" s="82">
        <v>22.47</v>
      </c>
      <c r="DO66" s="82">
        <v>0.77529846199999997</v>
      </c>
      <c r="DP66" s="82">
        <v>1.5344705190000001</v>
      </c>
      <c r="DQ66" s="82">
        <v>208.06</v>
      </c>
      <c r="DR66" s="82">
        <v>2.52</v>
      </c>
      <c r="DS66" s="82">
        <v>35.714285709999999</v>
      </c>
      <c r="DT66" s="82">
        <v>2.48</v>
      </c>
      <c r="DU66" s="82">
        <v>36.290322580000002</v>
      </c>
      <c r="DV66" s="82">
        <v>0.26</v>
      </c>
      <c r="DW66" s="82">
        <v>0.16</v>
      </c>
      <c r="DX66" s="82">
        <v>4302</v>
      </c>
      <c r="DY66" s="82">
        <v>0.21</v>
      </c>
      <c r="DZ66" s="82">
        <v>28.98</v>
      </c>
      <c r="EA66" s="82">
        <v>136.94999999999999</v>
      </c>
      <c r="EB66" s="82">
        <v>0.15310047900000001</v>
      </c>
      <c r="EC66" s="82">
        <v>1.7476953E-2</v>
      </c>
      <c r="ED66" s="82">
        <v>4.4503478259999998</v>
      </c>
      <c r="EE66" s="82">
        <v>49303</v>
      </c>
      <c r="EF66" s="82">
        <v>32349</v>
      </c>
      <c r="EG66" s="82">
        <v>521</v>
      </c>
      <c r="EH66" s="82">
        <v>-2328</v>
      </c>
      <c r="EI66" s="82">
        <v>0</v>
      </c>
      <c r="EJ66" s="82">
        <v>403</v>
      </c>
      <c r="EK66" s="82">
        <v>0</v>
      </c>
      <c r="EL66" s="82">
        <v>37</v>
      </c>
      <c r="EM66" s="82">
        <v>-38</v>
      </c>
      <c r="EN66" s="82">
        <v>24</v>
      </c>
      <c r="EO66" s="82">
        <v>-4228</v>
      </c>
      <c r="EP66" s="82">
        <v>-2376</v>
      </c>
      <c r="EQ66" s="82">
        <v>-347</v>
      </c>
      <c r="ER66" s="82">
        <v>-957</v>
      </c>
      <c r="ES66" s="82">
        <v>72363</v>
      </c>
      <c r="ET66" s="82">
        <v>314</v>
      </c>
      <c r="EU66" s="82">
        <v>277</v>
      </c>
      <c r="EV66" s="82">
        <v>-71</v>
      </c>
      <c r="EW66" s="82">
        <v>1</v>
      </c>
      <c r="EX66" s="82">
        <v>-77253</v>
      </c>
      <c r="EY66" s="82">
        <v>1558</v>
      </c>
      <c r="EZ66" s="82">
        <v>-75174</v>
      </c>
      <c r="FA66" s="82">
        <v>0</v>
      </c>
      <c r="FB66" s="82">
        <v>-77749</v>
      </c>
      <c r="FC66" s="82">
        <v>0</v>
      </c>
      <c r="FD66" s="82">
        <v>-1023</v>
      </c>
      <c r="FE66" s="82">
        <v>0</v>
      </c>
      <c r="FF66" s="82">
        <v>40600</v>
      </c>
      <c r="FG66" s="82">
        <v>0</v>
      </c>
      <c r="FH66" s="82">
        <v>0</v>
      </c>
      <c r="FI66" s="82">
        <v>12</v>
      </c>
      <c r="FJ66" s="82">
        <v>-38160</v>
      </c>
      <c r="FK66" s="82">
        <v>0</v>
      </c>
      <c r="FL66" s="82">
        <v>-40971</v>
      </c>
      <c r="FM66" s="82">
        <v>116989</v>
      </c>
      <c r="FN66" s="82">
        <v>76018</v>
      </c>
      <c r="FO66" s="82">
        <v>364</v>
      </c>
      <c r="FP66" s="82">
        <v>21</v>
      </c>
      <c r="FQ66" s="82">
        <v>-2811</v>
      </c>
    </row>
    <row r="67" spans="1:173" hidden="1">
      <c r="A67" s="82">
        <v>2330</v>
      </c>
      <c r="B67" s="82" t="s">
        <v>238</v>
      </c>
      <c r="C67" s="82">
        <v>6.49</v>
      </c>
      <c r="D67" s="82">
        <v>1.61</v>
      </c>
      <c r="E67" s="82">
        <v>-19</v>
      </c>
      <c r="F67" s="82">
        <v>-2852</v>
      </c>
      <c r="G67" s="82">
        <v>-7033</v>
      </c>
      <c r="H67" s="82">
        <v>1434</v>
      </c>
      <c r="I67" s="82">
        <v>24.21</v>
      </c>
      <c r="J67" s="82">
        <v>126501</v>
      </c>
      <c r="K67" s="82">
        <v>66185</v>
      </c>
      <c r="L67" s="82">
        <v>60315</v>
      </c>
      <c r="M67" s="82">
        <v>-214</v>
      </c>
      <c r="N67" s="82">
        <v>14380</v>
      </c>
      <c r="O67" s="82">
        <v>45721</v>
      </c>
      <c r="P67" s="82">
        <v>231</v>
      </c>
      <c r="Q67" s="82">
        <v>4098</v>
      </c>
      <c r="R67" s="82">
        <v>0</v>
      </c>
      <c r="S67" s="82">
        <v>0</v>
      </c>
      <c r="T67" s="82">
        <v>0</v>
      </c>
      <c r="U67" s="82">
        <v>0</v>
      </c>
      <c r="V67" s="82">
        <v>-32</v>
      </c>
      <c r="W67" s="82">
        <v>871</v>
      </c>
      <c r="X67" s="82">
        <v>5168</v>
      </c>
      <c r="Y67" s="82">
        <v>179</v>
      </c>
      <c r="Z67" s="82">
        <v>0</v>
      </c>
      <c r="AA67" s="82">
        <v>0</v>
      </c>
      <c r="AB67" s="82">
        <v>2607</v>
      </c>
      <c r="AC67" s="82">
        <v>32</v>
      </c>
      <c r="AD67" s="82">
        <v>0</v>
      </c>
      <c r="AE67" s="82">
        <v>0</v>
      </c>
      <c r="AF67" s="82">
        <v>-19</v>
      </c>
      <c r="AG67" s="82">
        <v>2798</v>
      </c>
      <c r="AH67" s="82">
        <v>2370</v>
      </c>
      <c r="AI67" s="82">
        <v>48091</v>
      </c>
      <c r="AJ67" s="82">
        <v>6278</v>
      </c>
      <c r="AK67" s="82">
        <v>41813</v>
      </c>
      <c r="AL67" s="82">
        <v>0</v>
      </c>
      <c r="AM67" s="82">
        <v>0</v>
      </c>
      <c r="AN67" s="82">
        <v>0</v>
      </c>
      <c r="AO67" s="82">
        <v>41813</v>
      </c>
      <c r="AP67" s="82">
        <v>1.61</v>
      </c>
      <c r="AQ67" s="82">
        <v>259192</v>
      </c>
      <c r="AR67" s="82">
        <v>0</v>
      </c>
      <c r="AS67" s="82">
        <v>116989</v>
      </c>
      <c r="AT67" s="82">
        <v>2476</v>
      </c>
      <c r="AU67" s="82">
        <v>53308</v>
      </c>
      <c r="AV67" s="82">
        <v>652</v>
      </c>
      <c r="AW67" s="82">
        <v>0</v>
      </c>
      <c r="AX67" s="82">
        <v>28429</v>
      </c>
      <c r="AY67" s="82" t="s">
        <v>86</v>
      </c>
      <c r="AZ67" s="82">
        <v>0</v>
      </c>
      <c r="BA67" s="82">
        <v>4508</v>
      </c>
      <c r="BB67" s="82">
        <v>206363</v>
      </c>
      <c r="BC67" s="82">
        <v>133450</v>
      </c>
      <c r="BD67" s="82">
        <v>0</v>
      </c>
      <c r="BE67" s="82">
        <v>165492</v>
      </c>
      <c r="BF67" s="82">
        <v>1113875</v>
      </c>
      <c r="BG67" s="82">
        <v>15396</v>
      </c>
      <c r="BH67" s="82">
        <v>0</v>
      </c>
      <c r="BI67" s="82">
        <v>-859587</v>
      </c>
      <c r="BJ67" s="82">
        <v>0</v>
      </c>
      <c r="BK67" s="82">
        <v>79017</v>
      </c>
      <c r="BL67" s="82">
        <v>514193</v>
      </c>
      <c r="BM67" s="82">
        <v>8056</v>
      </c>
      <c r="BN67" s="82">
        <v>1568</v>
      </c>
      <c r="BO67" s="82">
        <v>9731</v>
      </c>
      <c r="BP67" s="82">
        <v>19355</v>
      </c>
      <c r="BQ67" s="82">
        <v>873361</v>
      </c>
      <c r="BR67" s="82">
        <v>30773</v>
      </c>
      <c r="BS67" s="82">
        <v>0</v>
      </c>
      <c r="BT67" s="82">
        <v>16461</v>
      </c>
      <c r="BU67" s="82">
        <v>21173</v>
      </c>
      <c r="BV67" s="82">
        <v>1967</v>
      </c>
      <c r="BW67" s="82">
        <v>121698</v>
      </c>
      <c r="BX67" s="82">
        <v>6779</v>
      </c>
      <c r="BY67" s="82">
        <v>0</v>
      </c>
      <c r="BZ67" s="82">
        <v>7857</v>
      </c>
      <c r="CA67" s="82">
        <v>206709</v>
      </c>
      <c r="CB67" s="82">
        <v>35054</v>
      </c>
      <c r="CC67" s="82">
        <v>0</v>
      </c>
      <c r="CD67" s="82">
        <v>3883</v>
      </c>
      <c r="CE67" s="82">
        <v>0</v>
      </c>
      <c r="CF67" s="82">
        <v>0</v>
      </c>
      <c r="CG67" s="82">
        <v>0</v>
      </c>
      <c r="CH67" s="82">
        <v>250</v>
      </c>
      <c r="CI67" s="82">
        <v>4133</v>
      </c>
      <c r="CJ67" s="82">
        <v>245896</v>
      </c>
      <c r="CK67" s="82">
        <v>627465</v>
      </c>
      <c r="CL67" s="82">
        <v>259207</v>
      </c>
      <c r="CM67" s="82">
        <v>0</v>
      </c>
      <c r="CN67" s="82">
        <v>56025</v>
      </c>
      <c r="CO67" s="82">
        <v>115820</v>
      </c>
      <c r="CP67" s="82">
        <v>7606</v>
      </c>
      <c r="CQ67" s="82">
        <v>196303</v>
      </c>
      <c r="CR67" s="82">
        <v>335</v>
      </c>
      <c r="CS67" s="82">
        <v>873361</v>
      </c>
      <c r="CT67" s="82">
        <v>47.68</v>
      </c>
      <c r="CU67" s="82">
        <v>36.14</v>
      </c>
      <c r="CV67" s="82">
        <v>38.020000000000003</v>
      </c>
      <c r="CW67" s="82">
        <v>33.049999999999997</v>
      </c>
      <c r="CX67" s="82">
        <v>24.21</v>
      </c>
      <c r="CY67" s="82">
        <v>4.88</v>
      </c>
      <c r="CZ67" s="82">
        <v>1.76</v>
      </c>
      <c r="DA67" s="82">
        <v>1.86</v>
      </c>
      <c r="DB67" s="82">
        <v>6.49</v>
      </c>
      <c r="DC67" s="82">
        <v>4.95</v>
      </c>
      <c r="DD67" s="82">
        <v>1.61</v>
      </c>
      <c r="DE67" s="82">
        <v>17.3</v>
      </c>
      <c r="DF67" s="82">
        <v>24.57</v>
      </c>
      <c r="DG67" s="82">
        <v>23.6</v>
      </c>
      <c r="DH67" s="82">
        <v>16.309999999999999</v>
      </c>
      <c r="DI67" s="82">
        <v>14.03</v>
      </c>
      <c r="DJ67" s="82">
        <v>11.26</v>
      </c>
      <c r="DK67" s="82">
        <v>14.56</v>
      </c>
      <c r="DL67" s="82">
        <v>99.83</v>
      </c>
      <c r="DM67" s="82">
        <v>83.9</v>
      </c>
      <c r="DN67" s="82">
        <v>28.16</v>
      </c>
      <c r="DO67" s="82">
        <v>0.71844861400000004</v>
      </c>
      <c r="DP67" s="82">
        <v>0.838351709</v>
      </c>
      <c r="DQ67" s="82">
        <v>269.43</v>
      </c>
      <c r="DR67" s="82">
        <v>2.54</v>
      </c>
      <c r="DS67" s="82">
        <v>35.433070870000002</v>
      </c>
      <c r="DT67" s="82">
        <v>2.4500000000000002</v>
      </c>
      <c r="DU67" s="82">
        <v>36.734693880000002</v>
      </c>
      <c r="DV67" s="82">
        <v>0.26</v>
      </c>
      <c r="DW67" s="82">
        <v>0.15</v>
      </c>
      <c r="DX67" s="82">
        <v>3997</v>
      </c>
      <c r="DY67" s="82">
        <v>0.2</v>
      </c>
      <c r="DZ67" s="82">
        <v>39.19</v>
      </c>
      <c r="EA67" s="82">
        <v>128.85</v>
      </c>
      <c r="EB67" s="82">
        <v>0.152800503</v>
      </c>
      <c r="EC67" s="82">
        <v>3.070813E-2</v>
      </c>
      <c r="ED67" s="82">
        <v>3.55174952</v>
      </c>
      <c r="EE67" s="82">
        <v>41813</v>
      </c>
      <c r="EF67" s="82">
        <v>30253</v>
      </c>
      <c r="EG67" s="82">
        <v>512</v>
      </c>
      <c r="EH67" s="82">
        <v>-4098</v>
      </c>
      <c r="EI67" s="82">
        <v>0</v>
      </c>
      <c r="EJ67" s="82">
        <v>1285</v>
      </c>
      <c r="EK67" s="82">
        <v>0</v>
      </c>
      <c r="EL67" s="82">
        <v>23</v>
      </c>
      <c r="EM67" s="82">
        <v>2678</v>
      </c>
      <c r="EN67" s="82">
        <v>26</v>
      </c>
      <c r="EO67" s="82">
        <v>-7033</v>
      </c>
      <c r="EP67" s="82">
        <v>-2852</v>
      </c>
      <c r="EQ67" s="82">
        <v>1434</v>
      </c>
      <c r="ER67" s="82">
        <v>3270</v>
      </c>
      <c r="ES67" s="82">
        <v>67309</v>
      </c>
      <c r="ET67" s="82">
        <v>0</v>
      </c>
      <c r="EU67" s="82">
        <v>165</v>
      </c>
      <c r="EV67" s="82">
        <v>-19</v>
      </c>
      <c r="EW67" s="82">
        <v>64</v>
      </c>
      <c r="EX67" s="82">
        <v>-58622</v>
      </c>
      <c r="EY67" s="82">
        <v>-10</v>
      </c>
      <c r="EZ67" s="82">
        <v>-58422</v>
      </c>
      <c r="FA67" s="82">
        <v>0</v>
      </c>
      <c r="FB67" s="82">
        <v>0</v>
      </c>
      <c r="FC67" s="82">
        <v>0</v>
      </c>
      <c r="FD67" s="82">
        <v>-3915</v>
      </c>
      <c r="FE67" s="82">
        <v>54</v>
      </c>
      <c r="FF67" s="82">
        <v>0</v>
      </c>
      <c r="FG67" s="82">
        <v>0</v>
      </c>
      <c r="FH67" s="82">
        <v>0</v>
      </c>
      <c r="FI67" s="82">
        <v>-180</v>
      </c>
      <c r="FJ67" s="82">
        <v>-4041</v>
      </c>
      <c r="FK67" s="82">
        <v>0</v>
      </c>
      <c r="FL67" s="82">
        <v>4845</v>
      </c>
      <c r="FM67" s="82">
        <v>112144</v>
      </c>
      <c r="FN67" s="82">
        <v>116989</v>
      </c>
      <c r="FO67" s="82">
        <v>48</v>
      </c>
      <c r="FP67" s="82">
        <v>10222</v>
      </c>
      <c r="FQ67" s="82">
        <v>8887</v>
      </c>
    </row>
    <row r="68" spans="1:173" hidden="1">
      <c r="A68" s="82">
        <v>2330</v>
      </c>
      <c r="B68" s="82" t="s">
        <v>228</v>
      </c>
      <c r="C68" s="82">
        <v>5.19</v>
      </c>
      <c r="D68" s="82">
        <v>1.29</v>
      </c>
      <c r="E68" s="82">
        <v>-2151</v>
      </c>
      <c r="F68" s="82">
        <v>-2723</v>
      </c>
      <c r="G68" s="82">
        <v>-6976</v>
      </c>
      <c r="H68" s="82">
        <v>2512</v>
      </c>
      <c r="I68" s="82">
        <v>25.5</v>
      </c>
      <c r="J68" s="82">
        <v>104249</v>
      </c>
      <c r="K68" s="82">
        <v>55753</v>
      </c>
      <c r="L68" s="82">
        <v>48496</v>
      </c>
      <c r="M68" s="82">
        <v>74</v>
      </c>
      <c r="N68" s="82">
        <v>13530</v>
      </c>
      <c r="O68" s="82">
        <v>35040</v>
      </c>
      <c r="P68" s="82">
        <v>234</v>
      </c>
      <c r="Q68" s="82">
        <v>985</v>
      </c>
      <c r="R68" s="82">
        <v>0</v>
      </c>
      <c r="S68" s="82">
        <v>0</v>
      </c>
      <c r="T68" s="82">
        <v>0</v>
      </c>
      <c r="U68" s="82">
        <v>0</v>
      </c>
      <c r="V68" s="82">
        <v>246</v>
      </c>
      <c r="W68" s="82">
        <v>116</v>
      </c>
      <c r="X68" s="82">
        <v>1580</v>
      </c>
      <c r="Y68" s="82">
        <v>192</v>
      </c>
      <c r="Z68" s="82">
        <v>0</v>
      </c>
      <c r="AA68" s="82">
        <v>0</v>
      </c>
      <c r="AB68" s="82">
        <v>221</v>
      </c>
      <c r="AC68" s="82">
        <v>35</v>
      </c>
      <c r="AD68" s="82">
        <v>0</v>
      </c>
      <c r="AE68" s="82">
        <v>0</v>
      </c>
      <c r="AF68" s="82">
        <v>446</v>
      </c>
      <c r="AG68" s="82">
        <v>893</v>
      </c>
      <c r="AH68" s="82">
        <v>687</v>
      </c>
      <c r="AI68" s="82">
        <v>35727</v>
      </c>
      <c r="AJ68" s="82">
        <v>2253</v>
      </c>
      <c r="AK68" s="82">
        <v>33474</v>
      </c>
      <c r="AL68" s="82">
        <v>0</v>
      </c>
      <c r="AM68" s="82">
        <v>0</v>
      </c>
      <c r="AN68" s="82">
        <v>0</v>
      </c>
      <c r="AO68" s="82">
        <v>33474</v>
      </c>
      <c r="AP68" s="82">
        <v>1.29</v>
      </c>
      <c r="AQ68" s="82">
        <v>259176</v>
      </c>
      <c r="AR68" s="82">
        <v>0</v>
      </c>
      <c r="AS68" s="82">
        <v>112144</v>
      </c>
      <c r="AT68" s="82">
        <v>3319</v>
      </c>
      <c r="AU68" s="82">
        <v>46275</v>
      </c>
      <c r="AV68" s="82">
        <v>1372</v>
      </c>
      <c r="AW68" s="82">
        <v>0</v>
      </c>
      <c r="AX68" s="82">
        <v>25577</v>
      </c>
      <c r="AY68" s="82" t="s">
        <v>86</v>
      </c>
      <c r="AZ68" s="82">
        <v>0</v>
      </c>
      <c r="BA68" s="82">
        <v>9093</v>
      </c>
      <c r="BB68" s="82">
        <v>197779</v>
      </c>
      <c r="BC68" s="82">
        <v>129098</v>
      </c>
      <c r="BD68" s="82">
        <v>0</v>
      </c>
      <c r="BE68" s="82">
        <v>163888</v>
      </c>
      <c r="BF68" s="82">
        <v>1071298</v>
      </c>
      <c r="BG68" s="82">
        <v>14858</v>
      </c>
      <c r="BH68" s="82">
        <v>0</v>
      </c>
      <c r="BI68" s="82">
        <v>-829753</v>
      </c>
      <c r="BJ68" s="82">
        <v>0</v>
      </c>
      <c r="BK68" s="82">
        <v>55232</v>
      </c>
      <c r="BL68" s="82">
        <v>475524</v>
      </c>
      <c r="BM68" s="82">
        <v>7016</v>
      </c>
      <c r="BN68" s="82">
        <v>1568</v>
      </c>
      <c r="BO68" s="82">
        <v>10153</v>
      </c>
      <c r="BP68" s="82">
        <v>18736</v>
      </c>
      <c r="BQ68" s="82">
        <v>821137</v>
      </c>
      <c r="BR68" s="82">
        <v>34688</v>
      </c>
      <c r="BS68" s="82">
        <v>0</v>
      </c>
      <c r="BT68" s="82">
        <v>15027</v>
      </c>
      <c r="BU68" s="82">
        <v>11307</v>
      </c>
      <c r="BV68" s="82">
        <v>0</v>
      </c>
      <c r="BW68" s="82">
        <v>33213</v>
      </c>
      <c r="BX68" s="82">
        <v>13415</v>
      </c>
      <c r="BY68" s="82">
        <v>0</v>
      </c>
      <c r="BZ68" s="82">
        <v>13318</v>
      </c>
      <c r="CA68" s="82">
        <v>120968</v>
      </c>
      <c r="CB68" s="82">
        <v>35000</v>
      </c>
      <c r="CC68" s="82">
        <v>0</v>
      </c>
      <c r="CD68" s="82">
        <v>3857</v>
      </c>
      <c r="CE68" s="82">
        <v>0</v>
      </c>
      <c r="CF68" s="82">
        <v>0</v>
      </c>
      <c r="CG68" s="82">
        <v>0</v>
      </c>
      <c r="CH68" s="82">
        <v>380</v>
      </c>
      <c r="CI68" s="82">
        <v>4237</v>
      </c>
      <c r="CJ68" s="82">
        <v>160205</v>
      </c>
      <c r="CK68" s="82">
        <v>660932</v>
      </c>
      <c r="CL68" s="82">
        <v>259206</v>
      </c>
      <c r="CM68" s="82">
        <v>0</v>
      </c>
      <c r="CN68" s="82">
        <v>56008</v>
      </c>
      <c r="CO68" s="82">
        <v>102400</v>
      </c>
      <c r="CP68" s="82">
        <v>6434</v>
      </c>
      <c r="CQ68" s="82">
        <v>246831</v>
      </c>
      <c r="CR68" s="82">
        <v>-883</v>
      </c>
      <c r="CS68" s="82">
        <v>821137</v>
      </c>
      <c r="CT68" s="82">
        <v>46.52</v>
      </c>
      <c r="CU68" s="82">
        <v>33.61</v>
      </c>
      <c r="CV68" s="82">
        <v>34.270000000000003</v>
      </c>
      <c r="CW68" s="82">
        <v>32.11</v>
      </c>
      <c r="CX68" s="82">
        <v>25.5</v>
      </c>
      <c r="CY68" s="82">
        <v>4.0199999999999996</v>
      </c>
      <c r="CZ68" s="82">
        <v>1.35</v>
      </c>
      <c r="DA68" s="82">
        <v>1.38</v>
      </c>
      <c r="DB68" s="82">
        <v>5.19</v>
      </c>
      <c r="DC68" s="82">
        <v>4.25</v>
      </c>
      <c r="DD68" s="82">
        <v>1.29</v>
      </c>
      <c r="DE68" s="82">
        <v>1.66</v>
      </c>
      <c r="DF68" s="82">
        <v>-8.15</v>
      </c>
      <c r="DG68" s="82">
        <v>-10.87</v>
      </c>
      <c r="DH68" s="82">
        <v>-7.73</v>
      </c>
      <c r="DI68" s="82">
        <v>12.25</v>
      </c>
      <c r="DJ68" s="82">
        <v>8.76</v>
      </c>
      <c r="DK68" s="82">
        <v>15.61</v>
      </c>
      <c r="DL68" s="82">
        <v>163.5</v>
      </c>
      <c r="DM68" s="82">
        <v>134.84</v>
      </c>
      <c r="DN68" s="82">
        <v>19.510000000000002</v>
      </c>
      <c r="DO68" s="82">
        <v>0.80489857399999998</v>
      </c>
      <c r="DP68" s="82">
        <v>1.0455876200000001</v>
      </c>
      <c r="DQ68" s="82">
        <v>187.43</v>
      </c>
      <c r="DR68" s="82">
        <v>2.44</v>
      </c>
      <c r="DS68" s="82">
        <v>36.885245900000001</v>
      </c>
      <c r="DT68" s="82">
        <v>2.2999999999999998</v>
      </c>
      <c r="DU68" s="82">
        <v>39.130434780000002</v>
      </c>
      <c r="DV68" s="82">
        <v>0.22</v>
      </c>
      <c r="DW68" s="82">
        <v>0.13</v>
      </c>
      <c r="DX68" s="82">
        <v>3469</v>
      </c>
      <c r="DY68" s="82">
        <v>0.16</v>
      </c>
      <c r="DZ68" s="82">
        <v>24.24</v>
      </c>
      <c r="EA68" s="82">
        <v>146.35</v>
      </c>
      <c r="EB68" s="82">
        <v>0.15721858799999999</v>
      </c>
      <c r="EC68" s="82">
        <v>7.6298629999999997E-3</v>
      </c>
      <c r="ED68" s="82">
        <v>5.1255391530000001</v>
      </c>
      <c r="EE68" s="82">
        <v>33474</v>
      </c>
      <c r="EF68" s="82">
        <v>25913</v>
      </c>
      <c r="EG68" s="82">
        <v>490</v>
      </c>
      <c r="EH68" s="82">
        <v>-985</v>
      </c>
      <c r="EI68" s="82">
        <v>0</v>
      </c>
      <c r="EJ68" s="82">
        <v>0</v>
      </c>
      <c r="EK68" s="82">
        <v>0</v>
      </c>
      <c r="EL68" s="82">
        <v>33</v>
      </c>
      <c r="EM68" s="82">
        <v>0</v>
      </c>
      <c r="EN68" s="82">
        <v>-4</v>
      </c>
      <c r="EO68" s="82">
        <v>-6976</v>
      </c>
      <c r="EP68" s="82">
        <v>-2723</v>
      </c>
      <c r="EQ68" s="82">
        <v>2512</v>
      </c>
      <c r="ER68" s="82">
        <v>3470</v>
      </c>
      <c r="ES68" s="82">
        <v>55205</v>
      </c>
      <c r="ET68" s="82">
        <v>0</v>
      </c>
      <c r="EU68" s="82">
        <v>22</v>
      </c>
      <c r="EV68" s="82">
        <v>-2151</v>
      </c>
      <c r="EW68" s="82">
        <v>19</v>
      </c>
      <c r="EX68" s="82">
        <v>-47146</v>
      </c>
      <c r="EY68" s="82">
        <v>-406</v>
      </c>
      <c r="EZ68" s="82">
        <v>-49662</v>
      </c>
      <c r="FA68" s="82">
        <v>0</v>
      </c>
      <c r="FB68" s="82">
        <v>0</v>
      </c>
      <c r="FC68" s="82">
        <v>0</v>
      </c>
      <c r="FD68" s="82">
        <v>8761</v>
      </c>
      <c r="FE68" s="82">
        <v>0</v>
      </c>
      <c r="FF68" s="82">
        <v>17000</v>
      </c>
      <c r="FG68" s="82">
        <v>-4500</v>
      </c>
      <c r="FH68" s="82">
        <v>0</v>
      </c>
      <c r="FI68" s="82">
        <v>77</v>
      </c>
      <c r="FJ68" s="82">
        <v>21338</v>
      </c>
      <c r="FK68" s="82">
        <v>0</v>
      </c>
      <c r="FL68" s="82">
        <v>26881</v>
      </c>
      <c r="FM68" s="82">
        <v>85263</v>
      </c>
      <c r="FN68" s="82">
        <v>112144</v>
      </c>
      <c r="FO68" s="82">
        <v>219</v>
      </c>
      <c r="FP68" s="82">
        <v>48</v>
      </c>
      <c r="FQ68" s="82">
        <v>5543</v>
      </c>
    </row>
    <row r="69" spans="1:173" hidden="1">
      <c r="A69" s="82">
        <v>2330</v>
      </c>
      <c r="B69" s="82" t="s">
        <v>229</v>
      </c>
      <c r="C69" s="82">
        <v>5.14</v>
      </c>
      <c r="D69" s="82">
        <v>1.22</v>
      </c>
      <c r="E69" s="82">
        <v>-4656</v>
      </c>
      <c r="F69" s="82">
        <v>409</v>
      </c>
      <c r="G69" s="82">
        <v>4875</v>
      </c>
      <c r="H69" s="82">
        <v>1251</v>
      </c>
      <c r="I69" s="82">
        <v>24.29</v>
      </c>
      <c r="J69" s="82">
        <v>103032</v>
      </c>
      <c r="K69" s="82">
        <v>57846</v>
      </c>
      <c r="L69" s="82">
        <v>45187</v>
      </c>
      <c r="M69" s="82">
        <v>52</v>
      </c>
      <c r="N69" s="82">
        <v>12420</v>
      </c>
      <c r="O69" s="82">
        <v>32818</v>
      </c>
      <c r="P69" s="82">
        <v>185</v>
      </c>
      <c r="Q69" s="82">
        <v>246</v>
      </c>
      <c r="R69" s="82">
        <v>0</v>
      </c>
      <c r="S69" s="82">
        <v>18</v>
      </c>
      <c r="T69" s="82">
        <v>0</v>
      </c>
      <c r="U69" s="82">
        <v>0</v>
      </c>
      <c r="V69" s="82">
        <v>0</v>
      </c>
      <c r="W69" s="82">
        <v>529</v>
      </c>
      <c r="X69" s="82">
        <v>978</v>
      </c>
      <c r="Y69" s="82">
        <v>170</v>
      </c>
      <c r="Z69" s="82">
        <v>0</v>
      </c>
      <c r="AA69" s="82">
        <v>0</v>
      </c>
      <c r="AB69" s="82">
        <v>0</v>
      </c>
      <c r="AC69" s="82">
        <v>12</v>
      </c>
      <c r="AD69" s="82">
        <v>15</v>
      </c>
      <c r="AE69" s="82">
        <v>0</v>
      </c>
      <c r="AF69" s="82">
        <v>24</v>
      </c>
      <c r="AG69" s="82">
        <v>221</v>
      </c>
      <c r="AH69" s="82">
        <v>757</v>
      </c>
      <c r="AI69" s="82">
        <v>33574</v>
      </c>
      <c r="AJ69" s="82">
        <v>1996</v>
      </c>
      <c r="AK69" s="82">
        <v>31579</v>
      </c>
      <c r="AL69" s="82">
        <v>0</v>
      </c>
      <c r="AM69" s="82">
        <v>0</v>
      </c>
      <c r="AN69" s="82">
        <v>0</v>
      </c>
      <c r="AO69" s="82">
        <v>31579</v>
      </c>
      <c r="AP69" s="82">
        <v>1.22</v>
      </c>
      <c r="AQ69" s="82">
        <v>259141</v>
      </c>
      <c r="AR69" s="82">
        <v>0</v>
      </c>
      <c r="AS69" s="82">
        <v>85263</v>
      </c>
      <c r="AT69" s="82">
        <v>3333</v>
      </c>
      <c r="AU69" s="82">
        <v>39299</v>
      </c>
      <c r="AV69" s="82">
        <v>188</v>
      </c>
      <c r="AW69" s="82">
        <v>0</v>
      </c>
      <c r="AX69" s="82">
        <v>22853</v>
      </c>
      <c r="AY69" s="82" t="s">
        <v>86</v>
      </c>
      <c r="AZ69" s="82">
        <v>0</v>
      </c>
      <c r="BA69" s="82">
        <v>7627</v>
      </c>
      <c r="BB69" s="82">
        <v>158563</v>
      </c>
      <c r="BC69" s="82">
        <v>129401</v>
      </c>
      <c r="BD69" s="82">
        <v>0</v>
      </c>
      <c r="BE69" s="82">
        <v>149495</v>
      </c>
      <c r="BF69" s="82">
        <v>984979</v>
      </c>
      <c r="BG69" s="82">
        <v>13824</v>
      </c>
      <c r="BH69" s="82">
        <v>0</v>
      </c>
      <c r="BI69" s="82">
        <v>-804741</v>
      </c>
      <c r="BJ69" s="82">
        <v>0</v>
      </c>
      <c r="BK69" s="82">
        <v>110816</v>
      </c>
      <c r="BL69" s="82">
        <v>454374</v>
      </c>
      <c r="BM69" s="82">
        <v>7222</v>
      </c>
      <c r="BN69" s="82">
        <v>1568</v>
      </c>
      <c r="BO69" s="82">
        <v>10281</v>
      </c>
      <c r="BP69" s="82">
        <v>19070</v>
      </c>
      <c r="BQ69" s="82">
        <v>761408</v>
      </c>
      <c r="BR69" s="82">
        <v>25927</v>
      </c>
      <c r="BS69" s="82">
        <v>0</v>
      </c>
      <c r="BT69" s="82">
        <v>12515</v>
      </c>
      <c r="BU69" s="82">
        <v>16732</v>
      </c>
      <c r="BV69" s="82">
        <v>939</v>
      </c>
      <c r="BW69" s="82">
        <v>33812</v>
      </c>
      <c r="BX69" s="82">
        <v>10648</v>
      </c>
      <c r="BY69" s="82">
        <v>4500</v>
      </c>
      <c r="BZ69" s="82">
        <v>4442</v>
      </c>
      <c r="CA69" s="82">
        <v>109514</v>
      </c>
      <c r="CB69" s="82">
        <v>18000</v>
      </c>
      <c r="CC69" s="82">
        <v>0</v>
      </c>
      <c r="CD69" s="82">
        <v>3861</v>
      </c>
      <c r="CE69" s="82">
        <v>0</v>
      </c>
      <c r="CF69" s="82">
        <v>0</v>
      </c>
      <c r="CG69" s="82">
        <v>0</v>
      </c>
      <c r="CH69" s="82">
        <v>439</v>
      </c>
      <c r="CI69" s="82">
        <v>4300</v>
      </c>
      <c r="CJ69" s="82">
        <v>131814</v>
      </c>
      <c r="CK69" s="82">
        <v>629594</v>
      </c>
      <c r="CL69" s="82">
        <v>259162</v>
      </c>
      <c r="CM69" s="82">
        <v>0</v>
      </c>
      <c r="CN69" s="82">
        <v>55846</v>
      </c>
      <c r="CO69" s="82">
        <v>102400</v>
      </c>
      <c r="CP69" s="82">
        <v>6434</v>
      </c>
      <c r="CQ69" s="82">
        <v>213357</v>
      </c>
      <c r="CR69" s="82">
        <v>-1173</v>
      </c>
      <c r="CS69" s="82">
        <v>761408</v>
      </c>
      <c r="CT69" s="82">
        <v>43.86</v>
      </c>
      <c r="CU69" s="82">
        <v>31.85</v>
      </c>
      <c r="CV69" s="82">
        <v>32.590000000000003</v>
      </c>
      <c r="CW69" s="82">
        <v>30.65</v>
      </c>
      <c r="CX69" s="82">
        <v>24.29</v>
      </c>
      <c r="CY69" s="82">
        <v>3.98</v>
      </c>
      <c r="CZ69" s="82">
        <v>1.27</v>
      </c>
      <c r="DA69" s="82">
        <v>1.3</v>
      </c>
      <c r="DB69" s="82">
        <v>5.14</v>
      </c>
      <c r="DC69" s="82">
        <v>4.26</v>
      </c>
      <c r="DD69" s="82">
        <v>1.22</v>
      </c>
      <c r="DE69" s="82">
        <v>-3.57</v>
      </c>
      <c r="DF69" s="82">
        <v>-18.12</v>
      </c>
      <c r="DG69" s="82">
        <v>-21.22</v>
      </c>
      <c r="DH69" s="82">
        <v>-22.45</v>
      </c>
      <c r="DI69" s="82">
        <v>8.58</v>
      </c>
      <c r="DJ69" s="82">
        <v>9.66</v>
      </c>
      <c r="DK69" s="82">
        <v>23.86</v>
      </c>
      <c r="DL69" s="82">
        <v>144.79</v>
      </c>
      <c r="DM69" s="82">
        <v>116.96</v>
      </c>
      <c r="DN69" s="82">
        <v>17.309999999999999</v>
      </c>
      <c r="DO69" s="82">
        <v>0.82688125199999996</v>
      </c>
      <c r="DP69" s="82">
        <v>0.56999904999999995</v>
      </c>
      <c r="DQ69" s="82">
        <v>198.81</v>
      </c>
      <c r="DR69" s="82">
        <v>2.4700000000000002</v>
      </c>
      <c r="DS69" s="82">
        <v>36.437246960000003</v>
      </c>
      <c r="DT69" s="82">
        <v>2.5099999999999998</v>
      </c>
      <c r="DU69" s="82">
        <v>35.856573709999999</v>
      </c>
      <c r="DV69" s="82">
        <v>0.23</v>
      </c>
      <c r="DW69" s="82">
        <v>0.14000000000000001</v>
      </c>
      <c r="DX69" s="82">
        <v>3422</v>
      </c>
      <c r="DY69" s="82">
        <v>0.17</v>
      </c>
      <c r="DZ69" s="82">
        <v>20.94</v>
      </c>
      <c r="EA69" s="82">
        <v>142.52000000000001</v>
      </c>
      <c r="EB69" s="82">
        <v>0.16994962</v>
      </c>
      <c r="EC69" s="82">
        <v>1.901067E-3</v>
      </c>
      <c r="ED69" s="82">
        <v>5.7763818709999999</v>
      </c>
      <c r="EE69" s="82">
        <v>31579</v>
      </c>
      <c r="EF69" s="82">
        <v>25742</v>
      </c>
      <c r="EG69" s="82">
        <v>544</v>
      </c>
      <c r="EH69" s="82">
        <v>-246</v>
      </c>
      <c r="EI69" s="82">
        <v>0</v>
      </c>
      <c r="EJ69" s="82">
        <v>0</v>
      </c>
      <c r="EK69" s="82">
        <v>0</v>
      </c>
      <c r="EL69" s="82">
        <v>29</v>
      </c>
      <c r="EM69" s="82">
        <v>35</v>
      </c>
      <c r="EN69" s="82">
        <v>30</v>
      </c>
      <c r="EO69" s="82">
        <v>4875</v>
      </c>
      <c r="EP69" s="82">
        <v>409</v>
      </c>
      <c r="EQ69" s="82">
        <v>1251</v>
      </c>
      <c r="ER69" s="82">
        <v>5077</v>
      </c>
      <c r="ES69" s="82">
        <v>69326</v>
      </c>
      <c r="ET69" s="82">
        <v>0</v>
      </c>
      <c r="EU69" s="82">
        <v>570</v>
      </c>
      <c r="EV69" s="82">
        <v>-4656</v>
      </c>
      <c r="EW69" s="82">
        <v>1594</v>
      </c>
      <c r="EX69" s="82">
        <v>-27595</v>
      </c>
      <c r="EY69" s="82">
        <v>-345</v>
      </c>
      <c r="EZ69" s="82">
        <v>-30433</v>
      </c>
      <c r="FA69" s="82">
        <v>0</v>
      </c>
      <c r="FB69" s="82">
        <v>0</v>
      </c>
      <c r="FC69" s="82">
        <v>0</v>
      </c>
      <c r="FD69" s="82">
        <v>-20787</v>
      </c>
      <c r="FE69" s="82">
        <v>-816</v>
      </c>
      <c r="FF69" s="82">
        <v>0</v>
      </c>
      <c r="FG69" s="82">
        <v>0</v>
      </c>
      <c r="FH69" s="82">
        <v>0</v>
      </c>
      <c r="FI69" s="82">
        <v>822</v>
      </c>
      <c r="FJ69" s="82">
        <v>-20781</v>
      </c>
      <c r="FK69" s="82">
        <v>0</v>
      </c>
      <c r="FL69" s="82">
        <v>18112</v>
      </c>
      <c r="FM69" s="82">
        <v>67151</v>
      </c>
      <c r="FN69" s="82">
        <v>85263</v>
      </c>
      <c r="FO69" s="82">
        <v>77</v>
      </c>
      <c r="FP69" s="82">
        <v>18</v>
      </c>
      <c r="FQ69" s="82">
        <v>38893</v>
      </c>
    </row>
    <row r="70" spans="1:173" hidden="1">
      <c r="A70" s="82">
        <v>2330</v>
      </c>
      <c r="B70" s="82" t="s">
        <v>4</v>
      </c>
      <c r="C70" s="82">
        <v>5.23</v>
      </c>
      <c r="D70" s="82">
        <v>1.17</v>
      </c>
      <c r="E70" s="82">
        <v>-2223</v>
      </c>
      <c r="F70" s="82">
        <v>5142</v>
      </c>
      <c r="G70" s="82">
        <v>896</v>
      </c>
      <c r="H70" s="82">
        <v>-2260</v>
      </c>
      <c r="I70" s="82">
        <v>23.1</v>
      </c>
      <c r="J70" s="82">
        <v>104819</v>
      </c>
      <c r="K70" s="82">
        <v>61972</v>
      </c>
      <c r="L70" s="82">
        <v>42848</v>
      </c>
      <c r="M70" s="82">
        <v>97</v>
      </c>
      <c r="N70" s="82">
        <v>11711</v>
      </c>
      <c r="O70" s="82">
        <v>31234</v>
      </c>
      <c r="P70" s="82">
        <v>110</v>
      </c>
      <c r="Q70" s="82">
        <v>617</v>
      </c>
      <c r="R70" s="82">
        <v>0</v>
      </c>
      <c r="S70" s="82">
        <v>783</v>
      </c>
      <c r="T70" s="82">
        <v>0</v>
      </c>
      <c r="U70" s="82">
        <v>0</v>
      </c>
      <c r="V70" s="82">
        <v>-322</v>
      </c>
      <c r="W70" s="82">
        <v>363</v>
      </c>
      <c r="X70" s="82">
        <v>1551</v>
      </c>
      <c r="Y70" s="82">
        <v>130</v>
      </c>
      <c r="Z70" s="82">
        <v>0</v>
      </c>
      <c r="AA70" s="82">
        <v>0</v>
      </c>
      <c r="AB70" s="82">
        <v>-197</v>
      </c>
      <c r="AC70" s="82">
        <v>38</v>
      </c>
      <c r="AD70" s="82">
        <v>658</v>
      </c>
      <c r="AE70" s="82">
        <v>0</v>
      </c>
      <c r="AF70" s="82">
        <v>16</v>
      </c>
      <c r="AG70" s="82">
        <v>645</v>
      </c>
      <c r="AH70" s="82">
        <v>906</v>
      </c>
      <c r="AI70" s="82">
        <v>32141</v>
      </c>
      <c r="AJ70" s="82">
        <v>1746</v>
      </c>
      <c r="AK70" s="82">
        <v>30395</v>
      </c>
      <c r="AL70" s="82">
        <v>0</v>
      </c>
      <c r="AM70" s="82">
        <v>0</v>
      </c>
      <c r="AN70" s="82">
        <v>0</v>
      </c>
      <c r="AO70" s="82">
        <v>30395</v>
      </c>
      <c r="AP70" s="82">
        <v>1.17</v>
      </c>
      <c r="AQ70" s="82">
        <v>259138</v>
      </c>
      <c r="AR70" s="82">
        <v>0</v>
      </c>
      <c r="AS70" s="82">
        <v>67151</v>
      </c>
      <c r="AT70" s="82">
        <v>3569</v>
      </c>
      <c r="AU70" s="82">
        <v>44173</v>
      </c>
      <c r="AV70" s="82">
        <v>1491</v>
      </c>
      <c r="AW70" s="82">
        <v>0</v>
      </c>
      <c r="AX70" s="82">
        <v>23263</v>
      </c>
      <c r="AY70" s="82" t="s">
        <v>86</v>
      </c>
      <c r="AZ70" s="82">
        <v>0</v>
      </c>
      <c r="BA70" s="82">
        <v>2929</v>
      </c>
      <c r="BB70" s="82">
        <v>142576</v>
      </c>
      <c r="BC70" s="82">
        <v>126153</v>
      </c>
      <c r="BD70" s="82">
        <v>0</v>
      </c>
      <c r="BE70" s="82">
        <v>147429</v>
      </c>
      <c r="BF70" s="82">
        <v>967086</v>
      </c>
      <c r="BG70" s="82">
        <v>13408</v>
      </c>
      <c r="BH70" s="82">
        <v>0</v>
      </c>
      <c r="BI70" s="82">
        <v>-779462</v>
      </c>
      <c r="BJ70" s="82">
        <v>0</v>
      </c>
      <c r="BK70" s="82">
        <v>88919</v>
      </c>
      <c r="BL70" s="82">
        <v>437380</v>
      </c>
      <c r="BM70" s="82">
        <v>11091</v>
      </c>
      <c r="BN70" s="82">
        <v>1568</v>
      </c>
      <c r="BO70" s="82">
        <v>10517</v>
      </c>
      <c r="BP70" s="82">
        <v>23176</v>
      </c>
      <c r="BQ70" s="82">
        <v>729285</v>
      </c>
      <c r="BR70" s="82">
        <v>46714</v>
      </c>
      <c r="BS70" s="82">
        <v>0</v>
      </c>
      <c r="BT70" s="82">
        <v>11265</v>
      </c>
      <c r="BU70" s="82">
        <v>18146</v>
      </c>
      <c r="BV70" s="82">
        <v>0</v>
      </c>
      <c r="BW70" s="82">
        <v>19036</v>
      </c>
      <c r="BX70" s="82">
        <v>7680</v>
      </c>
      <c r="BY70" s="82">
        <v>5316</v>
      </c>
      <c r="BZ70" s="82">
        <v>174</v>
      </c>
      <c r="CA70" s="82">
        <v>108331</v>
      </c>
      <c r="CB70" s="82">
        <v>18000</v>
      </c>
      <c r="CC70" s="82">
        <v>0</v>
      </c>
      <c r="CD70" s="82">
        <v>3831</v>
      </c>
      <c r="CE70" s="82">
        <v>0</v>
      </c>
      <c r="CF70" s="82">
        <v>0</v>
      </c>
      <c r="CG70" s="82">
        <v>0</v>
      </c>
      <c r="CH70" s="82">
        <v>495</v>
      </c>
      <c r="CI70" s="82">
        <v>4326</v>
      </c>
      <c r="CJ70" s="82">
        <v>130657</v>
      </c>
      <c r="CK70" s="82">
        <v>598628</v>
      </c>
      <c r="CL70" s="82">
        <v>259151</v>
      </c>
      <c r="CM70" s="82">
        <v>0</v>
      </c>
      <c r="CN70" s="82">
        <v>55690</v>
      </c>
      <c r="CO70" s="82">
        <v>102400</v>
      </c>
      <c r="CP70" s="82">
        <v>6434</v>
      </c>
      <c r="CQ70" s="82">
        <v>181838</v>
      </c>
      <c r="CR70" s="82">
        <v>-1227</v>
      </c>
      <c r="CS70" s="82">
        <v>729285</v>
      </c>
      <c r="CT70" s="82">
        <v>40.880000000000003</v>
      </c>
      <c r="CU70" s="82">
        <v>29.8</v>
      </c>
      <c r="CV70" s="82">
        <v>30.66</v>
      </c>
      <c r="CW70" s="82">
        <v>29</v>
      </c>
      <c r="CX70" s="82">
        <v>23.1</v>
      </c>
      <c r="CY70" s="82">
        <v>4.04</v>
      </c>
      <c r="CZ70" s="82">
        <v>1.21</v>
      </c>
      <c r="DA70" s="82">
        <v>1.24</v>
      </c>
      <c r="DB70" s="82">
        <v>5.23</v>
      </c>
      <c r="DC70" s="82">
        <v>4.08</v>
      </c>
      <c r="DD70" s="82">
        <v>1.17</v>
      </c>
      <c r="DE70" s="82">
        <v>-4.1100000000000003</v>
      </c>
      <c r="DF70" s="82">
        <v>-24.82</v>
      </c>
      <c r="DG70" s="82">
        <v>-34.97</v>
      </c>
      <c r="DH70" s="82">
        <v>-35.25</v>
      </c>
      <c r="DI70" s="82">
        <v>12.28</v>
      </c>
      <c r="DJ70" s="82">
        <v>11.58</v>
      </c>
      <c r="DK70" s="82">
        <v>32.299999999999997</v>
      </c>
      <c r="DL70" s="82">
        <v>131.61000000000001</v>
      </c>
      <c r="DM70" s="82">
        <v>107.43</v>
      </c>
      <c r="DN70" s="82">
        <v>17.920000000000002</v>
      </c>
      <c r="DO70" s="82">
        <v>0.82084233200000001</v>
      </c>
      <c r="DP70" s="82">
        <v>0.59220266499999996</v>
      </c>
      <c r="DQ70" s="82">
        <v>248.65</v>
      </c>
      <c r="DR70" s="82">
        <v>2.35</v>
      </c>
      <c r="DS70" s="82">
        <v>38.297872339999998</v>
      </c>
      <c r="DT70" s="82">
        <v>2.4</v>
      </c>
      <c r="DU70" s="82">
        <v>37.5</v>
      </c>
      <c r="DV70" s="82">
        <v>0.24</v>
      </c>
      <c r="DW70" s="82">
        <v>0.14000000000000001</v>
      </c>
      <c r="DX70" s="82">
        <v>3503</v>
      </c>
      <c r="DY70" s="82">
        <v>0.18</v>
      </c>
      <c r="DZ70" s="82">
        <v>21.83</v>
      </c>
      <c r="EA70" s="82">
        <v>140.97999999999999</v>
      </c>
      <c r="EB70" s="82">
        <v>0.17298175599999999</v>
      </c>
      <c r="EC70" s="82">
        <v>4.8908859999999997E-3</v>
      </c>
      <c r="ED70" s="82">
        <v>5.5816756850000004</v>
      </c>
      <c r="EE70" s="82">
        <v>30395</v>
      </c>
      <c r="EF70" s="82">
        <v>26104</v>
      </c>
      <c r="EG70" s="82">
        <v>580</v>
      </c>
      <c r="EH70" s="82">
        <v>-617</v>
      </c>
      <c r="EI70" s="82">
        <v>0</v>
      </c>
      <c r="EJ70" s="82">
        <v>1027</v>
      </c>
      <c r="EK70" s="82">
        <v>0</v>
      </c>
      <c r="EL70" s="82">
        <v>60</v>
      </c>
      <c r="EM70" s="82">
        <v>0</v>
      </c>
      <c r="EN70" s="82">
        <v>31</v>
      </c>
      <c r="EO70" s="82">
        <v>896</v>
      </c>
      <c r="EP70" s="82">
        <v>5142</v>
      </c>
      <c r="EQ70" s="82">
        <v>-2260</v>
      </c>
      <c r="ER70" s="82">
        <v>-6466</v>
      </c>
      <c r="ES70" s="82">
        <v>54893</v>
      </c>
      <c r="ET70" s="82">
        <v>0</v>
      </c>
      <c r="EU70" s="82">
        <v>1864</v>
      </c>
      <c r="EV70" s="82">
        <v>-2223</v>
      </c>
      <c r="EW70" s="82">
        <v>988</v>
      </c>
      <c r="EX70" s="82">
        <v>-36016</v>
      </c>
      <c r="EY70" s="82">
        <v>-1440</v>
      </c>
      <c r="EZ70" s="82">
        <v>-36827</v>
      </c>
      <c r="FA70" s="82">
        <v>0</v>
      </c>
      <c r="FB70" s="82">
        <v>-77730</v>
      </c>
      <c r="FC70" s="82">
        <v>0</v>
      </c>
      <c r="FD70" s="82">
        <v>13573</v>
      </c>
      <c r="FE70" s="82">
        <v>816</v>
      </c>
      <c r="FF70" s="82">
        <v>18000</v>
      </c>
      <c r="FG70" s="82">
        <v>0</v>
      </c>
      <c r="FH70" s="82">
        <v>-72</v>
      </c>
      <c r="FI70" s="82">
        <v>-800</v>
      </c>
      <c r="FJ70" s="82">
        <v>-46212</v>
      </c>
      <c r="FK70" s="82">
        <v>0</v>
      </c>
      <c r="FL70" s="82">
        <v>-28147</v>
      </c>
      <c r="FM70" s="82">
        <v>95297</v>
      </c>
      <c r="FN70" s="82">
        <v>67151</v>
      </c>
      <c r="FO70" s="82">
        <v>70</v>
      </c>
      <c r="FP70" s="82">
        <v>20</v>
      </c>
      <c r="FQ70" s="82">
        <v>18066</v>
      </c>
    </row>
    <row r="71" spans="1:173" hidden="1">
      <c r="A71" s="82">
        <v>2330</v>
      </c>
      <c r="B71" s="82" t="s">
        <v>5</v>
      </c>
      <c r="C71" s="82">
        <v>6.14</v>
      </c>
      <c r="D71" s="82">
        <v>1.39</v>
      </c>
      <c r="E71" s="82">
        <v>-88</v>
      </c>
      <c r="F71" s="82">
        <v>489</v>
      </c>
      <c r="G71" s="82">
        <v>-391</v>
      </c>
      <c r="H71" s="82">
        <v>124</v>
      </c>
      <c r="I71" s="82">
        <v>21.76</v>
      </c>
      <c r="J71" s="82">
        <v>107845</v>
      </c>
      <c r="K71" s="82">
        <v>59776</v>
      </c>
      <c r="L71" s="82">
        <v>48070</v>
      </c>
      <c r="M71" s="82">
        <v>193</v>
      </c>
      <c r="N71" s="82">
        <v>11560</v>
      </c>
      <c r="O71" s="82">
        <v>36703</v>
      </c>
      <c r="P71" s="82">
        <v>253</v>
      </c>
      <c r="Q71" s="82">
        <v>1338</v>
      </c>
      <c r="R71" s="82">
        <v>0</v>
      </c>
      <c r="S71" s="82">
        <v>0</v>
      </c>
      <c r="T71" s="82">
        <v>0</v>
      </c>
      <c r="U71" s="82">
        <v>0</v>
      </c>
      <c r="V71" s="82">
        <v>-58</v>
      </c>
      <c r="W71" s="82">
        <v>765</v>
      </c>
      <c r="X71" s="82">
        <v>2298</v>
      </c>
      <c r="Y71" s="82">
        <v>75</v>
      </c>
      <c r="Z71" s="82">
        <v>0</v>
      </c>
      <c r="AA71" s="82">
        <v>0</v>
      </c>
      <c r="AB71" s="82">
        <v>-60</v>
      </c>
      <c r="AC71" s="82">
        <v>-11</v>
      </c>
      <c r="AD71" s="82">
        <v>0</v>
      </c>
      <c r="AE71" s="82">
        <v>0</v>
      </c>
      <c r="AF71" s="82">
        <v>88</v>
      </c>
      <c r="AG71" s="82">
        <v>92</v>
      </c>
      <c r="AH71" s="82">
        <v>2206</v>
      </c>
      <c r="AI71" s="82">
        <v>38910</v>
      </c>
      <c r="AJ71" s="82">
        <v>2959</v>
      </c>
      <c r="AK71" s="82">
        <v>35950</v>
      </c>
      <c r="AL71" s="82">
        <v>0</v>
      </c>
      <c r="AM71" s="82">
        <v>0</v>
      </c>
      <c r="AN71" s="82">
        <v>0</v>
      </c>
      <c r="AO71" s="82">
        <v>35950</v>
      </c>
      <c r="AP71" s="82">
        <v>1.39</v>
      </c>
      <c r="AQ71" s="82">
        <v>259134</v>
      </c>
      <c r="AR71" s="82">
        <v>0</v>
      </c>
      <c r="AS71" s="82">
        <v>95297</v>
      </c>
      <c r="AT71" s="82">
        <v>6304</v>
      </c>
      <c r="AU71" s="82">
        <v>45070</v>
      </c>
      <c r="AV71" s="82">
        <v>3232</v>
      </c>
      <c r="AW71" s="82">
        <v>0</v>
      </c>
      <c r="AX71" s="82">
        <v>28405</v>
      </c>
      <c r="AY71" s="82" t="s">
        <v>86</v>
      </c>
      <c r="AZ71" s="82">
        <v>0</v>
      </c>
      <c r="BA71" s="82">
        <v>2545</v>
      </c>
      <c r="BB71" s="82">
        <v>180852</v>
      </c>
      <c r="BC71" s="82">
        <v>112361</v>
      </c>
      <c r="BD71" s="82">
        <v>0</v>
      </c>
      <c r="BE71" s="82">
        <v>146791</v>
      </c>
      <c r="BF71" s="82">
        <v>950275</v>
      </c>
      <c r="BG71" s="82">
        <v>12916</v>
      </c>
      <c r="BH71" s="82">
        <v>0</v>
      </c>
      <c r="BI71" s="82">
        <v>-754185</v>
      </c>
      <c r="BJ71" s="82">
        <v>0</v>
      </c>
      <c r="BK71" s="82">
        <v>93046</v>
      </c>
      <c r="BL71" s="82">
        <v>448842</v>
      </c>
      <c r="BM71" s="82">
        <v>10855</v>
      </c>
      <c r="BN71" s="82">
        <v>1568</v>
      </c>
      <c r="BO71" s="82">
        <v>11394</v>
      </c>
      <c r="BP71" s="82">
        <v>23817</v>
      </c>
      <c r="BQ71" s="82">
        <v>765873</v>
      </c>
      <c r="BR71" s="82">
        <v>33141</v>
      </c>
      <c r="BS71" s="82">
        <v>0</v>
      </c>
      <c r="BT71" s="82">
        <v>13524</v>
      </c>
      <c r="BU71" s="82">
        <v>22323</v>
      </c>
      <c r="BV71" s="82">
        <v>627</v>
      </c>
      <c r="BW71" s="82">
        <v>112672</v>
      </c>
      <c r="BX71" s="82">
        <v>6076</v>
      </c>
      <c r="BY71" s="82">
        <v>4500</v>
      </c>
      <c r="BZ71" s="82">
        <v>4696</v>
      </c>
      <c r="CA71" s="82">
        <v>197560</v>
      </c>
      <c r="CB71" s="82">
        <v>0</v>
      </c>
      <c r="CC71" s="82">
        <v>0</v>
      </c>
      <c r="CD71" s="82">
        <v>3860</v>
      </c>
      <c r="CE71" s="82">
        <v>0</v>
      </c>
      <c r="CF71" s="82">
        <v>0</v>
      </c>
      <c r="CG71" s="82">
        <v>0</v>
      </c>
      <c r="CH71" s="82">
        <v>503</v>
      </c>
      <c r="CI71" s="82">
        <v>4363</v>
      </c>
      <c r="CJ71" s="82">
        <v>201923</v>
      </c>
      <c r="CK71" s="82">
        <v>563950</v>
      </c>
      <c r="CL71" s="82">
        <v>259143</v>
      </c>
      <c r="CM71" s="82">
        <v>0</v>
      </c>
      <c r="CN71" s="82">
        <v>55802</v>
      </c>
      <c r="CO71" s="82">
        <v>102400</v>
      </c>
      <c r="CP71" s="82">
        <v>6434</v>
      </c>
      <c r="CQ71" s="82">
        <v>151444</v>
      </c>
      <c r="CR71" s="82">
        <v>188</v>
      </c>
      <c r="CS71" s="82">
        <v>765873</v>
      </c>
      <c r="CT71" s="82">
        <v>44.57</v>
      </c>
      <c r="CU71" s="82">
        <v>34.03</v>
      </c>
      <c r="CV71" s="82">
        <v>36.08</v>
      </c>
      <c r="CW71" s="82">
        <v>33.340000000000003</v>
      </c>
      <c r="CX71" s="82">
        <v>21.76</v>
      </c>
      <c r="CY71" s="82">
        <v>4.16</v>
      </c>
      <c r="CZ71" s="82">
        <v>1.42</v>
      </c>
      <c r="DA71" s="82">
        <v>1.5</v>
      </c>
      <c r="DB71" s="82">
        <v>6.14</v>
      </c>
      <c r="DC71" s="82">
        <v>4.8099999999999996</v>
      </c>
      <c r="DD71" s="82">
        <v>1.39</v>
      </c>
      <c r="DE71" s="82">
        <v>6.11</v>
      </c>
      <c r="DF71" s="82">
        <v>-6.94</v>
      </c>
      <c r="DG71" s="82">
        <v>-7.71</v>
      </c>
      <c r="DH71" s="82">
        <v>-10.75</v>
      </c>
      <c r="DI71" s="82">
        <v>15.47</v>
      </c>
      <c r="DJ71" s="82">
        <v>14.46</v>
      </c>
      <c r="DK71" s="82">
        <v>44.48</v>
      </c>
      <c r="DL71" s="82">
        <v>91.54</v>
      </c>
      <c r="DM71" s="82">
        <v>75.88</v>
      </c>
      <c r="DN71" s="82">
        <v>26.37</v>
      </c>
      <c r="DO71" s="82">
        <v>0.73634923799999996</v>
      </c>
      <c r="DP71" s="82">
        <v>0</v>
      </c>
      <c r="DQ71" s="82">
        <v>521.24</v>
      </c>
      <c r="DR71" s="82">
        <v>2.4</v>
      </c>
      <c r="DS71" s="82">
        <v>37.5</v>
      </c>
      <c r="DT71" s="82">
        <v>2.09</v>
      </c>
      <c r="DU71" s="82">
        <v>43.062200959999998</v>
      </c>
      <c r="DV71" s="82">
        <v>0.25</v>
      </c>
      <c r="DW71" s="82">
        <v>0.14000000000000001</v>
      </c>
      <c r="DX71" s="82">
        <v>3552</v>
      </c>
      <c r="DY71" s="82">
        <v>0.18</v>
      </c>
      <c r="DZ71" s="82">
        <v>35.81</v>
      </c>
      <c r="EA71" s="82">
        <v>125.65</v>
      </c>
      <c r="EB71" s="82">
        <v>0.146709703</v>
      </c>
      <c r="EC71" s="82">
        <v>1.1908046E-2</v>
      </c>
      <c r="ED71" s="82">
        <v>3.7928963019999999</v>
      </c>
      <c r="EE71" s="82">
        <v>35950</v>
      </c>
      <c r="EF71" s="82">
        <v>25575</v>
      </c>
      <c r="EG71" s="82">
        <v>507</v>
      </c>
      <c r="EH71" s="82">
        <v>-1338</v>
      </c>
      <c r="EI71" s="82">
        <v>0</v>
      </c>
      <c r="EJ71" s="82">
        <v>1914</v>
      </c>
      <c r="EK71" s="82">
        <v>0</v>
      </c>
      <c r="EL71" s="82">
        <v>-58</v>
      </c>
      <c r="EM71" s="82">
        <v>-35</v>
      </c>
      <c r="EN71" s="82">
        <v>30</v>
      </c>
      <c r="EO71" s="82">
        <v>-391</v>
      </c>
      <c r="EP71" s="82">
        <v>489</v>
      </c>
      <c r="EQ71" s="82">
        <v>124</v>
      </c>
      <c r="ER71" s="82">
        <v>-2157</v>
      </c>
      <c r="ES71" s="82">
        <v>60611</v>
      </c>
      <c r="ET71" s="82">
        <v>1035</v>
      </c>
      <c r="EU71" s="82">
        <v>2675</v>
      </c>
      <c r="EV71" s="82">
        <v>-88</v>
      </c>
      <c r="EW71" s="82">
        <v>1515</v>
      </c>
      <c r="EX71" s="82">
        <v>-61954</v>
      </c>
      <c r="EY71" s="82">
        <v>-610</v>
      </c>
      <c r="EZ71" s="82">
        <v>-57427</v>
      </c>
      <c r="FA71" s="82">
        <v>0</v>
      </c>
      <c r="FB71" s="82">
        <v>0</v>
      </c>
      <c r="FC71" s="82">
        <v>0</v>
      </c>
      <c r="FD71" s="82">
        <v>-1035</v>
      </c>
      <c r="FE71" s="82">
        <v>-913</v>
      </c>
      <c r="FF71" s="82">
        <v>0</v>
      </c>
      <c r="FG71" s="82">
        <v>0</v>
      </c>
      <c r="FH71" s="82">
        <v>0</v>
      </c>
      <c r="FI71" s="82">
        <v>724</v>
      </c>
      <c r="FJ71" s="82">
        <v>-1224</v>
      </c>
      <c r="FK71" s="82">
        <v>0</v>
      </c>
      <c r="FL71" s="82">
        <v>1961</v>
      </c>
      <c r="FM71" s="82">
        <v>93337</v>
      </c>
      <c r="FN71" s="82">
        <v>95297</v>
      </c>
      <c r="FO71" s="82">
        <v>40</v>
      </c>
      <c r="FP71" s="82">
        <v>7203</v>
      </c>
      <c r="FQ71" s="82">
        <v>3184</v>
      </c>
    </row>
    <row r="72" spans="1:173" hidden="1">
      <c r="A72" s="82">
        <v>2330</v>
      </c>
      <c r="B72" s="82" t="s">
        <v>6</v>
      </c>
      <c r="C72" s="82">
        <v>6.14</v>
      </c>
      <c r="D72" s="82">
        <v>1.4</v>
      </c>
      <c r="E72" s="82">
        <v>-423</v>
      </c>
      <c r="F72" s="82">
        <v>-3247</v>
      </c>
      <c r="G72" s="82">
        <v>-4524</v>
      </c>
      <c r="H72" s="82">
        <v>266</v>
      </c>
      <c r="I72" s="82">
        <v>23.45</v>
      </c>
      <c r="J72" s="82">
        <v>102548</v>
      </c>
      <c r="K72" s="82">
        <v>53490</v>
      </c>
      <c r="L72" s="82">
        <v>49059</v>
      </c>
      <c r="M72" s="82">
        <v>56</v>
      </c>
      <c r="N72" s="82">
        <v>10964</v>
      </c>
      <c r="O72" s="82">
        <v>38151</v>
      </c>
      <c r="P72" s="82">
        <v>149</v>
      </c>
      <c r="Q72" s="82">
        <v>1577</v>
      </c>
      <c r="R72" s="82">
        <v>0</v>
      </c>
      <c r="S72" s="82">
        <v>0</v>
      </c>
      <c r="T72" s="82">
        <v>0</v>
      </c>
      <c r="U72" s="82">
        <v>0</v>
      </c>
      <c r="V72" s="82">
        <v>380</v>
      </c>
      <c r="W72" s="82">
        <v>353</v>
      </c>
      <c r="X72" s="82">
        <v>2460</v>
      </c>
      <c r="Y72" s="82">
        <v>72</v>
      </c>
      <c r="Z72" s="82">
        <v>0</v>
      </c>
      <c r="AA72" s="82">
        <v>0</v>
      </c>
      <c r="AB72" s="82">
        <v>257</v>
      </c>
      <c r="AC72" s="82">
        <v>165</v>
      </c>
      <c r="AD72" s="82">
        <v>0</v>
      </c>
      <c r="AE72" s="82">
        <v>0</v>
      </c>
      <c r="AF72" s="82">
        <v>34</v>
      </c>
      <c r="AG72" s="82">
        <v>527</v>
      </c>
      <c r="AH72" s="82">
        <v>1933</v>
      </c>
      <c r="AI72" s="82">
        <v>40083</v>
      </c>
      <c r="AJ72" s="82">
        <v>3805</v>
      </c>
      <c r="AK72" s="82">
        <v>36278</v>
      </c>
      <c r="AL72" s="82">
        <v>0</v>
      </c>
      <c r="AM72" s="82">
        <v>0</v>
      </c>
      <c r="AN72" s="82">
        <v>0</v>
      </c>
      <c r="AO72" s="82">
        <v>36278</v>
      </c>
      <c r="AP72" s="82">
        <v>1.4</v>
      </c>
      <c r="AQ72" s="82">
        <v>259125</v>
      </c>
      <c r="AR72" s="82">
        <v>0</v>
      </c>
      <c r="AS72" s="82">
        <v>93337</v>
      </c>
      <c r="AT72" s="82">
        <v>8874</v>
      </c>
      <c r="AU72" s="82">
        <v>44679</v>
      </c>
      <c r="AV72" s="82">
        <v>1853</v>
      </c>
      <c r="AW72" s="82">
        <v>0</v>
      </c>
      <c r="AX72" s="82">
        <v>28894</v>
      </c>
      <c r="AY72" s="82" t="s">
        <v>86</v>
      </c>
      <c r="AZ72" s="82">
        <v>0</v>
      </c>
      <c r="BA72" s="82">
        <v>6343</v>
      </c>
      <c r="BB72" s="82">
        <v>183979</v>
      </c>
      <c r="BC72" s="82">
        <v>116912</v>
      </c>
      <c r="BD72" s="82">
        <v>0</v>
      </c>
      <c r="BE72" s="82">
        <v>144103</v>
      </c>
      <c r="BF72" s="82">
        <v>919031</v>
      </c>
      <c r="BG72" s="82">
        <v>12398</v>
      </c>
      <c r="BH72" s="82">
        <v>0</v>
      </c>
      <c r="BI72" s="82">
        <v>-729610</v>
      </c>
      <c r="BJ72" s="82">
        <v>0</v>
      </c>
      <c r="BK72" s="82">
        <v>65401</v>
      </c>
      <c r="BL72" s="82">
        <v>411321</v>
      </c>
      <c r="BM72" s="82">
        <v>6386</v>
      </c>
      <c r="BN72" s="82">
        <v>1568</v>
      </c>
      <c r="BO72" s="82">
        <v>11332</v>
      </c>
      <c r="BP72" s="82">
        <v>19286</v>
      </c>
      <c r="BQ72" s="82">
        <v>731498</v>
      </c>
      <c r="BR72" s="82">
        <v>34176</v>
      </c>
      <c r="BS72" s="82">
        <v>0</v>
      </c>
      <c r="BT72" s="82">
        <v>13400</v>
      </c>
      <c r="BU72" s="82">
        <v>13416</v>
      </c>
      <c r="BV72" s="82">
        <v>0</v>
      </c>
      <c r="BW72" s="82">
        <v>32411</v>
      </c>
      <c r="BX72" s="82">
        <v>9703</v>
      </c>
      <c r="BY72" s="82">
        <v>5413</v>
      </c>
      <c r="BZ72" s="82">
        <v>10780</v>
      </c>
      <c r="CA72" s="82">
        <v>119298</v>
      </c>
      <c r="CB72" s="82">
        <v>0</v>
      </c>
      <c r="CC72" s="82">
        <v>0</v>
      </c>
      <c r="CD72" s="82">
        <v>3830</v>
      </c>
      <c r="CE72" s="82">
        <v>0</v>
      </c>
      <c r="CF72" s="82">
        <v>0</v>
      </c>
      <c r="CG72" s="82">
        <v>0</v>
      </c>
      <c r="CH72" s="82">
        <v>695</v>
      </c>
      <c r="CI72" s="82">
        <v>4526</v>
      </c>
      <c r="CJ72" s="82">
        <v>123824</v>
      </c>
      <c r="CK72" s="82">
        <v>607674</v>
      </c>
      <c r="CL72" s="82">
        <v>259142</v>
      </c>
      <c r="CM72" s="82">
        <v>0</v>
      </c>
      <c r="CN72" s="82">
        <v>55781</v>
      </c>
      <c r="CO72" s="82">
        <v>86239</v>
      </c>
      <c r="CP72" s="82">
        <v>1313</v>
      </c>
      <c r="CQ72" s="82">
        <v>214505</v>
      </c>
      <c r="CR72" s="82">
        <v>45</v>
      </c>
      <c r="CS72" s="82">
        <v>731498</v>
      </c>
      <c r="CT72" s="82">
        <v>47.84</v>
      </c>
      <c r="CU72" s="82">
        <v>37.200000000000003</v>
      </c>
      <c r="CV72" s="82">
        <v>39.090000000000003</v>
      </c>
      <c r="CW72" s="82">
        <v>35.380000000000003</v>
      </c>
      <c r="CX72" s="82">
        <v>23.45</v>
      </c>
      <c r="CY72" s="82">
        <v>3.96</v>
      </c>
      <c r="CZ72" s="82">
        <v>1.47</v>
      </c>
      <c r="DA72" s="82">
        <v>1.55</v>
      </c>
      <c r="DB72" s="82">
        <v>6.14</v>
      </c>
      <c r="DC72" s="82">
        <v>5.07</v>
      </c>
      <c r="DD72" s="82">
        <v>1.4</v>
      </c>
      <c r="DE72" s="82">
        <v>15</v>
      </c>
      <c r="DF72" s="82">
        <v>12.92</v>
      </c>
      <c r="DG72" s="82">
        <v>14.23</v>
      </c>
      <c r="DH72" s="82">
        <v>7.77</v>
      </c>
      <c r="DI72" s="82">
        <v>20.079999999999998</v>
      </c>
      <c r="DJ72" s="82">
        <v>15.06</v>
      </c>
      <c r="DK72" s="82">
        <v>46.15</v>
      </c>
      <c r="DL72" s="82">
        <v>154.22</v>
      </c>
      <c r="DM72" s="82">
        <v>124.68</v>
      </c>
      <c r="DN72" s="82">
        <v>16.93</v>
      </c>
      <c r="DO72" s="82">
        <v>0.83072544299999995</v>
      </c>
      <c r="DP72" s="82">
        <v>0</v>
      </c>
      <c r="DQ72" s="82">
        <v>560.96</v>
      </c>
      <c r="DR72" s="82">
        <v>2.42</v>
      </c>
      <c r="DS72" s="82">
        <v>37.19008264</v>
      </c>
      <c r="DT72" s="82">
        <v>1.96</v>
      </c>
      <c r="DU72" s="82">
        <v>45.918367349999997</v>
      </c>
      <c r="DV72" s="82">
        <v>0.26</v>
      </c>
      <c r="DW72" s="82">
        <v>0.14000000000000001</v>
      </c>
      <c r="DX72" s="82">
        <v>3386</v>
      </c>
      <c r="DY72" s="82">
        <v>0.17</v>
      </c>
      <c r="DZ72" s="82">
        <v>20.38</v>
      </c>
      <c r="EA72" s="82">
        <v>147.74</v>
      </c>
      <c r="EB72" s="82">
        <v>0.15982545400000001</v>
      </c>
      <c r="EC72" s="82">
        <v>1.3488778E-2</v>
      </c>
      <c r="ED72" s="82">
        <v>5.9075623469999998</v>
      </c>
      <c r="EE72" s="82">
        <v>36278</v>
      </c>
      <c r="EF72" s="82">
        <v>23352</v>
      </c>
      <c r="EG72" s="82">
        <v>521</v>
      </c>
      <c r="EH72" s="82">
        <v>-1577</v>
      </c>
      <c r="EI72" s="82">
        <v>0</v>
      </c>
      <c r="EJ72" s="82">
        <v>0</v>
      </c>
      <c r="EK72" s="82">
        <v>0</v>
      </c>
      <c r="EL72" s="82">
        <v>68</v>
      </c>
      <c r="EM72" s="82">
        <v>0</v>
      </c>
      <c r="EN72" s="82">
        <v>6</v>
      </c>
      <c r="EO72" s="82">
        <v>-4524</v>
      </c>
      <c r="EP72" s="82">
        <v>-3247</v>
      </c>
      <c r="EQ72" s="82">
        <v>266</v>
      </c>
      <c r="ER72" s="82">
        <v>2763</v>
      </c>
      <c r="ES72" s="82">
        <v>53905</v>
      </c>
      <c r="ET72" s="82">
        <v>0</v>
      </c>
      <c r="EU72" s="82">
        <v>0</v>
      </c>
      <c r="EV72" s="82">
        <v>-423</v>
      </c>
      <c r="EW72" s="82">
        <v>554</v>
      </c>
      <c r="EX72" s="82">
        <v>-77193</v>
      </c>
      <c r="EY72" s="82">
        <v>3641</v>
      </c>
      <c r="EZ72" s="82">
        <v>-73422</v>
      </c>
      <c r="FA72" s="82">
        <v>0</v>
      </c>
      <c r="FB72" s="82">
        <v>0</v>
      </c>
      <c r="FC72" s="82">
        <v>0</v>
      </c>
      <c r="FD72" s="82">
        <v>3268</v>
      </c>
      <c r="FE72" s="82">
        <v>194</v>
      </c>
      <c r="FF72" s="82">
        <v>0</v>
      </c>
      <c r="FG72" s="82">
        <v>0</v>
      </c>
      <c r="FH72" s="82">
        <v>0</v>
      </c>
      <c r="FI72" s="82">
        <v>-119</v>
      </c>
      <c r="FJ72" s="82">
        <v>3343</v>
      </c>
      <c r="FK72" s="82">
        <v>0</v>
      </c>
      <c r="FL72" s="82">
        <v>-16174</v>
      </c>
      <c r="FM72" s="82">
        <v>109511</v>
      </c>
      <c r="FN72" s="82">
        <v>93337</v>
      </c>
      <c r="FO72" s="82">
        <v>181</v>
      </c>
      <c r="FP72" s="82">
        <v>214</v>
      </c>
      <c r="FQ72" s="82">
        <v>-19517</v>
      </c>
    </row>
    <row r="73" spans="1:173" hidden="1">
      <c r="A73" s="82">
        <v>2330</v>
      </c>
      <c r="B73" s="82" t="s">
        <v>7</v>
      </c>
      <c r="C73" s="82">
        <v>7.33</v>
      </c>
      <c r="D73" s="82">
        <v>1.57</v>
      </c>
      <c r="E73" s="82">
        <v>-137</v>
      </c>
      <c r="F73" s="82">
        <v>-1873</v>
      </c>
      <c r="G73" s="82">
        <v>5197</v>
      </c>
      <c r="H73" s="82">
        <v>37</v>
      </c>
      <c r="I73" s="82">
        <v>22.16</v>
      </c>
      <c r="J73" s="82">
        <v>106846</v>
      </c>
      <c r="K73" s="82">
        <v>55137</v>
      </c>
      <c r="L73" s="82">
        <v>51709</v>
      </c>
      <c r="M73" s="82">
        <v>84</v>
      </c>
      <c r="N73" s="82">
        <v>11715</v>
      </c>
      <c r="O73" s="82">
        <v>40078</v>
      </c>
      <c r="P73" s="82">
        <v>209</v>
      </c>
      <c r="Q73" s="82">
        <v>2434</v>
      </c>
      <c r="R73" s="82">
        <v>0</v>
      </c>
      <c r="S73" s="82">
        <v>157</v>
      </c>
      <c r="T73" s="82">
        <v>0</v>
      </c>
      <c r="U73" s="82">
        <v>0</v>
      </c>
      <c r="V73" s="82">
        <v>0</v>
      </c>
      <c r="W73" s="82">
        <v>755</v>
      </c>
      <c r="X73" s="82">
        <v>3555</v>
      </c>
      <c r="Y73" s="82">
        <v>72</v>
      </c>
      <c r="Z73" s="82">
        <v>0</v>
      </c>
      <c r="AA73" s="82">
        <v>0</v>
      </c>
      <c r="AB73" s="82">
        <v>0</v>
      </c>
      <c r="AC73" s="82">
        <v>839</v>
      </c>
      <c r="AD73" s="82">
        <v>59</v>
      </c>
      <c r="AE73" s="82">
        <v>0</v>
      </c>
      <c r="AF73" s="82">
        <v>47</v>
      </c>
      <c r="AG73" s="82">
        <v>1017</v>
      </c>
      <c r="AH73" s="82">
        <v>2538</v>
      </c>
      <c r="AI73" s="82">
        <v>42617</v>
      </c>
      <c r="AJ73" s="82">
        <v>1896</v>
      </c>
      <c r="AK73" s="82">
        <v>40720</v>
      </c>
      <c r="AL73" s="82">
        <v>0</v>
      </c>
      <c r="AM73" s="82">
        <v>0</v>
      </c>
      <c r="AN73" s="82">
        <v>0</v>
      </c>
      <c r="AO73" s="82">
        <v>40720</v>
      </c>
      <c r="AP73" s="82">
        <v>1.57</v>
      </c>
      <c r="AQ73" s="82">
        <v>259058</v>
      </c>
      <c r="AR73" s="82">
        <v>0</v>
      </c>
      <c r="AS73" s="82">
        <v>109511</v>
      </c>
      <c r="AT73" s="82">
        <v>8715</v>
      </c>
      <c r="AU73" s="82">
        <v>40155</v>
      </c>
      <c r="AV73" s="82">
        <v>1302</v>
      </c>
      <c r="AW73" s="82">
        <v>0</v>
      </c>
      <c r="AX73" s="82">
        <v>25646</v>
      </c>
      <c r="AY73" s="82" t="s">
        <v>86</v>
      </c>
      <c r="AZ73" s="82">
        <v>0</v>
      </c>
      <c r="BA73" s="82">
        <v>6904</v>
      </c>
      <c r="BB73" s="82">
        <v>192234</v>
      </c>
      <c r="BC73" s="82">
        <v>117914</v>
      </c>
      <c r="BD73" s="82">
        <v>0</v>
      </c>
      <c r="BE73" s="82">
        <v>128647</v>
      </c>
      <c r="BF73" s="82">
        <v>852734</v>
      </c>
      <c r="BG73" s="82">
        <v>11731</v>
      </c>
      <c r="BH73" s="82">
        <v>0</v>
      </c>
      <c r="BI73" s="82">
        <v>-706605</v>
      </c>
      <c r="BJ73" s="82">
        <v>0</v>
      </c>
      <c r="BK73" s="82">
        <v>80349</v>
      </c>
      <c r="BL73" s="82">
        <v>366854</v>
      </c>
      <c r="BM73" s="82">
        <v>7154</v>
      </c>
      <c r="BN73" s="82">
        <v>1568</v>
      </c>
      <c r="BO73" s="82">
        <v>15515</v>
      </c>
      <c r="BP73" s="82">
        <v>24237</v>
      </c>
      <c r="BQ73" s="82">
        <v>701240</v>
      </c>
      <c r="BR73" s="82">
        <v>30909</v>
      </c>
      <c r="BS73" s="82">
        <v>0</v>
      </c>
      <c r="BT73" s="82">
        <v>13134</v>
      </c>
      <c r="BU73" s="82">
        <v>18655</v>
      </c>
      <c r="BV73" s="82">
        <v>1059</v>
      </c>
      <c r="BW73" s="82">
        <v>41992</v>
      </c>
      <c r="BX73" s="82">
        <v>7109</v>
      </c>
      <c r="BY73" s="82">
        <v>719</v>
      </c>
      <c r="BZ73" s="82">
        <v>4446</v>
      </c>
      <c r="CA73" s="82">
        <v>118022</v>
      </c>
      <c r="CB73" s="82">
        <v>4500</v>
      </c>
      <c r="CC73" s="82">
        <v>0</v>
      </c>
      <c r="CD73" s="82">
        <v>3825</v>
      </c>
      <c r="CE73" s="82">
        <v>0</v>
      </c>
      <c r="CF73" s="82">
        <v>0</v>
      </c>
      <c r="CG73" s="82">
        <v>0</v>
      </c>
      <c r="CH73" s="82">
        <v>748</v>
      </c>
      <c r="CI73" s="82">
        <v>4572</v>
      </c>
      <c r="CJ73" s="82">
        <v>127095</v>
      </c>
      <c r="CK73" s="82">
        <v>574145</v>
      </c>
      <c r="CL73" s="82">
        <v>259101</v>
      </c>
      <c r="CM73" s="82">
        <v>0</v>
      </c>
      <c r="CN73" s="82">
        <v>55698</v>
      </c>
      <c r="CO73" s="82">
        <v>86239</v>
      </c>
      <c r="CP73" s="82">
        <v>1313</v>
      </c>
      <c r="CQ73" s="82">
        <v>178227</v>
      </c>
      <c r="CR73" s="82">
        <v>109</v>
      </c>
      <c r="CS73" s="82">
        <v>701240</v>
      </c>
      <c r="CT73" s="82">
        <v>48.4</v>
      </c>
      <c r="CU73" s="82">
        <v>37.51</v>
      </c>
      <c r="CV73" s="82">
        <v>39.89</v>
      </c>
      <c r="CW73" s="82">
        <v>38.11</v>
      </c>
      <c r="CX73" s="82">
        <v>22.16</v>
      </c>
      <c r="CY73" s="82">
        <v>4.12</v>
      </c>
      <c r="CZ73" s="82">
        <v>1.55</v>
      </c>
      <c r="DA73" s="82">
        <v>1.65</v>
      </c>
      <c r="DB73" s="82">
        <v>7.33</v>
      </c>
      <c r="DC73" s="82">
        <v>6.04</v>
      </c>
      <c r="DD73" s="82">
        <v>1.57</v>
      </c>
      <c r="DE73" s="82">
        <v>20.059999999999999</v>
      </c>
      <c r="DF73" s="82">
        <v>18.649999999999999</v>
      </c>
      <c r="DG73" s="82">
        <v>21.3</v>
      </c>
      <c r="DH73" s="82">
        <v>24.66</v>
      </c>
      <c r="DI73" s="82">
        <v>21.44</v>
      </c>
      <c r="DJ73" s="82">
        <v>15.97</v>
      </c>
      <c r="DK73" s="82">
        <v>44</v>
      </c>
      <c r="DL73" s="82">
        <v>162.88</v>
      </c>
      <c r="DM73" s="82">
        <v>135.30000000000001</v>
      </c>
      <c r="DN73" s="82">
        <v>18.12</v>
      </c>
      <c r="DO73" s="82">
        <v>0.81875677400000002</v>
      </c>
      <c r="DP73" s="82">
        <v>0.110510806</v>
      </c>
      <c r="DQ73" s="82">
        <v>594.41</v>
      </c>
      <c r="DR73" s="82">
        <v>2.5</v>
      </c>
      <c r="DS73" s="82">
        <v>36</v>
      </c>
      <c r="DT73" s="82">
        <v>2.23</v>
      </c>
      <c r="DU73" s="82">
        <v>40.358744389999998</v>
      </c>
      <c r="DV73" s="82">
        <v>0.31</v>
      </c>
      <c r="DW73" s="82">
        <v>0.16</v>
      </c>
      <c r="DX73" s="82">
        <v>3570</v>
      </c>
      <c r="DY73" s="82">
        <v>0.19</v>
      </c>
      <c r="DZ73" s="82">
        <v>22.14</v>
      </c>
      <c r="EA73" s="82">
        <v>157.72999999999999</v>
      </c>
      <c r="EB73" s="82">
        <v>0.16815070400000001</v>
      </c>
      <c r="EC73" s="82">
        <v>2.0642163000000002E-2</v>
      </c>
      <c r="ED73" s="82">
        <v>5.5174475789999997</v>
      </c>
      <c r="EE73" s="82">
        <v>40720</v>
      </c>
      <c r="EF73" s="82">
        <v>23814</v>
      </c>
      <c r="EG73" s="82">
        <v>-1461</v>
      </c>
      <c r="EH73" s="82">
        <v>-2434</v>
      </c>
      <c r="EI73" s="82">
        <v>0</v>
      </c>
      <c r="EJ73" s="82">
        <v>0</v>
      </c>
      <c r="EK73" s="82">
        <v>0</v>
      </c>
      <c r="EL73" s="82">
        <v>802</v>
      </c>
      <c r="EM73" s="82">
        <v>-1</v>
      </c>
      <c r="EN73" s="82">
        <v>9</v>
      </c>
      <c r="EO73" s="82">
        <v>5197</v>
      </c>
      <c r="EP73" s="82">
        <v>-1873</v>
      </c>
      <c r="EQ73" s="82">
        <v>37</v>
      </c>
      <c r="ER73" s="82">
        <v>4075</v>
      </c>
      <c r="ES73" s="82">
        <v>68885</v>
      </c>
      <c r="ET73" s="82">
        <v>0</v>
      </c>
      <c r="EU73" s="82">
        <v>1050</v>
      </c>
      <c r="EV73" s="82">
        <v>-137</v>
      </c>
      <c r="EW73" s="82">
        <v>325</v>
      </c>
      <c r="EX73" s="82">
        <v>-43413</v>
      </c>
      <c r="EY73" s="82">
        <v>-944</v>
      </c>
      <c r="EZ73" s="82">
        <v>-43118</v>
      </c>
      <c r="FA73" s="82">
        <v>0</v>
      </c>
      <c r="FB73" s="82">
        <v>0</v>
      </c>
      <c r="FC73" s="82">
        <v>0</v>
      </c>
      <c r="FD73" s="82">
        <v>-6687</v>
      </c>
      <c r="FE73" s="82">
        <v>-52</v>
      </c>
      <c r="FF73" s="82">
        <v>0</v>
      </c>
      <c r="FG73" s="82">
        <v>0</v>
      </c>
      <c r="FH73" s="82">
        <v>0</v>
      </c>
      <c r="FI73" s="82">
        <v>84</v>
      </c>
      <c r="FJ73" s="82">
        <v>-6655</v>
      </c>
      <c r="FK73" s="82">
        <v>0</v>
      </c>
      <c r="FL73" s="82">
        <v>19112</v>
      </c>
      <c r="FM73" s="82">
        <v>90400</v>
      </c>
      <c r="FN73" s="82">
        <v>109511</v>
      </c>
      <c r="FO73" s="82">
        <v>29</v>
      </c>
      <c r="FP73" s="82">
        <v>163</v>
      </c>
      <c r="FQ73" s="82">
        <v>25767</v>
      </c>
    </row>
    <row r="74" spans="1:173" hidden="1"/>
    <row r="75" spans="1:173" hidden="1"/>
    <row r="76" spans="1:173" hidden="1"/>
    <row r="77" spans="1:173" hidden="1"/>
    <row r="78" spans="1:173" hidden="1"/>
    <row r="79" spans="1:173" hidden="1"/>
    <row r="80" spans="1:173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</sheetData>
  <sheetProtection password="FA0B" sheet="1" objects="1" scenarios="1"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99"/>
  <sheetViews>
    <sheetView topLeftCell="A500" workbookViewId="0">
      <selection activeCell="A500" sqref="A1:XFD1048576"/>
    </sheetView>
  </sheetViews>
  <sheetFormatPr defaultRowHeight="14.25"/>
  <cols>
    <col min="1" max="1" width="9.125" style="82" bestFit="1" customWidth="1"/>
    <col min="2" max="2" width="9.375" style="82" bestFit="1" customWidth="1"/>
    <col min="3" max="3" width="9.125" style="82" bestFit="1" customWidth="1"/>
    <col min="4" max="4" width="9.375" style="82" bestFit="1" customWidth="1"/>
    <col min="5" max="5" width="9.125" style="82" bestFit="1" customWidth="1"/>
    <col min="6" max="6" width="10.625" style="82" bestFit="1" customWidth="1"/>
    <col min="7" max="7" width="9" style="82"/>
    <col min="8" max="8" width="9.125" style="82" bestFit="1" customWidth="1"/>
    <col min="9" max="16384" width="9" style="82"/>
  </cols>
  <sheetData>
    <row r="1" hidden="1"/>
    <row r="2" hidden="1"/>
    <row r="3" hidden="1"/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spans="6:6" hidden="1"/>
    <row r="210" spans="6:6" hidden="1"/>
    <row r="211" spans="6:6" hidden="1"/>
    <row r="212" spans="6:6" hidden="1"/>
    <row r="213" spans="6:6" hidden="1"/>
    <row r="214" spans="6:6" hidden="1"/>
    <row r="215" spans="6:6" hidden="1">
      <c r="F215" s="84"/>
    </row>
    <row r="216" spans="6:6" hidden="1"/>
    <row r="217" spans="6:6" hidden="1"/>
    <row r="218" spans="6:6" hidden="1"/>
    <row r="219" spans="6:6" hidden="1"/>
    <row r="220" spans="6:6" hidden="1"/>
    <row r="221" spans="6:6" hidden="1"/>
    <row r="222" spans="6:6" hidden="1"/>
    <row r="223" spans="6:6" hidden="1"/>
    <row r="224" spans="6:6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spans="6:6" hidden="1"/>
    <row r="258" spans="6:6" hidden="1"/>
    <row r="259" spans="6:6" hidden="1"/>
    <row r="260" spans="6:6" hidden="1"/>
    <row r="261" spans="6:6" hidden="1"/>
    <row r="262" spans="6:6" hidden="1"/>
    <row r="263" spans="6:6" hidden="1"/>
    <row r="264" spans="6:6" hidden="1"/>
    <row r="265" spans="6:6" hidden="1"/>
    <row r="266" spans="6:6" hidden="1"/>
    <row r="267" spans="6:6" hidden="1"/>
    <row r="268" spans="6:6" hidden="1">
      <c r="F268" s="85"/>
    </row>
    <row r="269" spans="6:6" hidden="1"/>
    <row r="270" spans="6:6" hidden="1"/>
    <row r="271" spans="6:6" hidden="1"/>
    <row r="272" spans="6:6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spans="1:7" hidden="1"/>
    <row r="306" spans="1:7" hidden="1"/>
    <row r="307" spans="1:7" hidden="1"/>
    <row r="308" spans="1:7" hidden="1"/>
    <row r="309" spans="1:7" hidden="1"/>
    <row r="310" spans="1:7" hidden="1"/>
    <row r="311" spans="1:7" hidden="1"/>
    <row r="312" spans="1:7" hidden="1"/>
    <row r="313" spans="1:7" hidden="1"/>
    <row r="314" spans="1:7" hidden="1"/>
    <row r="315" spans="1:7" hidden="1"/>
    <row r="316" spans="1:7" hidden="1"/>
    <row r="317" spans="1:7" hidden="1"/>
    <row r="318" spans="1:7" hidden="1"/>
    <row r="319" spans="1:7" hidden="1">
      <c r="A319" s="82" t="s">
        <v>0</v>
      </c>
      <c r="B319" s="82">
        <v>2412</v>
      </c>
      <c r="C319" s="82" t="s">
        <v>208</v>
      </c>
    </row>
    <row r="320" spans="1:7" hidden="1">
      <c r="A320" s="82" t="s">
        <v>239</v>
      </c>
      <c r="E320" s="82">
        <v>2412</v>
      </c>
      <c r="G320" s="82" t="s">
        <v>240</v>
      </c>
    </row>
    <row r="321" spans="1:8" hidden="1">
      <c r="A321" s="82" t="s">
        <v>209</v>
      </c>
      <c r="E321" s="82" t="s">
        <v>34</v>
      </c>
      <c r="F321" s="82">
        <v>32808</v>
      </c>
      <c r="G321" s="82" t="s">
        <v>35</v>
      </c>
      <c r="H321" s="82">
        <v>775.74</v>
      </c>
    </row>
    <row r="322" spans="1:8" hidden="1">
      <c r="A322" s="82" t="s">
        <v>210</v>
      </c>
      <c r="B322" s="82" t="s">
        <v>211</v>
      </c>
      <c r="C322" s="82" t="s">
        <v>212</v>
      </c>
      <c r="D322" s="82" t="s">
        <v>213</v>
      </c>
      <c r="E322" s="82" t="s">
        <v>37</v>
      </c>
      <c r="F322" s="82">
        <v>0.371924227</v>
      </c>
      <c r="G322" s="82" t="s">
        <v>38</v>
      </c>
      <c r="H322" s="82">
        <v>6787.7250000000004</v>
      </c>
    </row>
    <row r="323" spans="1:8" hidden="1">
      <c r="A323" s="82" t="s">
        <v>258</v>
      </c>
      <c r="B323" s="82">
        <v>15798260</v>
      </c>
      <c r="C323" s="82">
        <v>-1.3899999999999999E-2</v>
      </c>
      <c r="D323" s="82">
        <v>15754746</v>
      </c>
      <c r="E323" s="82" t="s">
        <v>40</v>
      </c>
      <c r="F323" s="82">
        <v>0.15146208799999999</v>
      </c>
      <c r="G323" s="82" t="s">
        <v>41</v>
      </c>
      <c r="H323" s="82">
        <v>0.36990000000000001</v>
      </c>
    </row>
    <row r="324" spans="1:8" hidden="1">
      <c r="A324" s="82" t="s">
        <v>241</v>
      </c>
      <c r="B324" s="82">
        <v>16020239</v>
      </c>
      <c r="C324" s="82">
        <v>3.9E-2</v>
      </c>
      <c r="D324" s="82">
        <v>17323629</v>
      </c>
      <c r="E324" s="82" t="s">
        <v>43</v>
      </c>
      <c r="F324" s="82">
        <v>17.52</v>
      </c>
      <c r="G324" s="82" t="s">
        <v>44</v>
      </c>
      <c r="H324" s="82">
        <v>0.22239999999999999</v>
      </c>
    </row>
    <row r="325" spans="1:8" hidden="1">
      <c r="A325" s="82" t="s">
        <v>242</v>
      </c>
      <c r="B325" s="82">
        <v>15419299</v>
      </c>
      <c r="C325" s="82">
        <v>-1.6299999999999999E-2</v>
      </c>
      <c r="D325" s="82">
        <v>15962745</v>
      </c>
      <c r="E325" s="82" t="s">
        <v>46</v>
      </c>
      <c r="F325" s="82">
        <v>2.0099999999999998</v>
      </c>
      <c r="G325" s="82" t="s">
        <v>47</v>
      </c>
      <c r="H325" s="82">
        <v>1798</v>
      </c>
    </row>
    <row r="326" spans="1:8" hidden="1">
      <c r="A326" s="82" t="s">
        <v>236</v>
      </c>
      <c r="B326" s="82">
        <v>15675317</v>
      </c>
      <c r="C326" s="82">
        <v>2.6800000000000001E-2</v>
      </c>
      <c r="D326" s="82">
        <v>16346964</v>
      </c>
      <c r="E326" s="82" t="s">
        <v>49</v>
      </c>
      <c r="F326" s="82">
        <v>13.15</v>
      </c>
      <c r="G326" s="82" t="s">
        <v>50</v>
      </c>
      <c r="H326" s="82">
        <v>7.01</v>
      </c>
    </row>
    <row r="327" spans="1:8" hidden="1">
      <c r="A327" s="82" t="s">
        <v>234</v>
      </c>
      <c r="B327" s="82">
        <v>15266518</v>
      </c>
      <c r="C327" s="82">
        <v>-2.5899999999999999E-2</v>
      </c>
      <c r="D327" s="82">
        <v>15580335</v>
      </c>
      <c r="E327" s="82" t="s">
        <v>52</v>
      </c>
      <c r="F327" s="82">
        <v>46.09</v>
      </c>
      <c r="G327" s="82" t="s">
        <v>53</v>
      </c>
      <c r="H327" s="82">
        <v>0.12232</v>
      </c>
    </row>
    <row r="328" spans="1:8" hidden="1">
      <c r="A328" s="82" t="s">
        <v>230</v>
      </c>
      <c r="B328" s="82">
        <v>15672739</v>
      </c>
      <c r="C328" s="82">
        <v>1.66E-2</v>
      </c>
      <c r="D328" s="82">
        <v>16017661</v>
      </c>
      <c r="E328" s="82" t="s">
        <v>225</v>
      </c>
      <c r="F328" s="82">
        <v>87.5</v>
      </c>
      <c r="G328" s="82" t="s">
        <v>55</v>
      </c>
      <c r="H328" s="82">
        <v>0.91038323499999996</v>
      </c>
    </row>
    <row r="329" spans="1:8" hidden="1">
      <c r="A329" s="82" t="s">
        <v>231</v>
      </c>
      <c r="B329" s="82">
        <v>15416933</v>
      </c>
      <c r="C329" s="82">
        <v>-5.4999999999999997E-3</v>
      </c>
      <c r="D329" s="82">
        <v>15342942</v>
      </c>
      <c r="E329" s="82" t="s">
        <v>57</v>
      </c>
      <c r="G329" s="82" t="s">
        <v>58</v>
      </c>
      <c r="H329" s="82">
        <v>0</v>
      </c>
    </row>
    <row r="330" spans="1:8" hidden="1">
      <c r="A330" s="82" t="s">
        <v>232</v>
      </c>
      <c r="B330" s="82">
        <v>15502317</v>
      </c>
      <c r="C330" s="82">
        <v>-7.8600000000000003E-2</v>
      </c>
      <c r="D330" s="82">
        <v>16035621</v>
      </c>
      <c r="E330" s="82" t="s">
        <v>60</v>
      </c>
      <c r="G330" s="82" t="s">
        <v>61</v>
      </c>
      <c r="H330" s="82">
        <v>0</v>
      </c>
    </row>
    <row r="331" spans="1:8" hidden="1">
      <c r="A331" s="82" t="s">
        <v>233</v>
      </c>
      <c r="B331" s="82">
        <v>16825007</v>
      </c>
      <c r="C331" s="82">
        <v>2.7300000000000001E-2</v>
      </c>
      <c r="D331" s="82">
        <v>16205597</v>
      </c>
      <c r="E331" s="82" t="s">
        <v>63</v>
      </c>
    </row>
    <row r="332" spans="1:8" hidden="1">
      <c r="A332" s="82" t="s">
        <v>227</v>
      </c>
      <c r="B332" s="82">
        <v>16377363</v>
      </c>
      <c r="C332" s="82">
        <v>4.1599999999999998E-2</v>
      </c>
      <c r="D332" s="82">
        <v>16090038</v>
      </c>
      <c r="E332" s="82" t="s">
        <v>65</v>
      </c>
      <c r="F332" s="82" t="s">
        <v>243</v>
      </c>
    </row>
    <row r="333" spans="1:8" hidden="1">
      <c r="A333" s="82" t="s">
        <v>214</v>
      </c>
      <c r="B333" s="82">
        <v>15723420</v>
      </c>
      <c r="C333" s="82">
        <v>-4.3E-3</v>
      </c>
      <c r="D333" s="82">
        <v>15936184</v>
      </c>
      <c r="E333" s="82" t="s">
        <v>67</v>
      </c>
      <c r="F333" s="82" t="s">
        <v>244</v>
      </c>
    </row>
    <row r="334" spans="1:8" hidden="1">
      <c r="A334" s="82" t="s">
        <v>215</v>
      </c>
      <c r="B334" s="82">
        <v>15791082</v>
      </c>
      <c r="C334" s="82">
        <v>2.3E-3</v>
      </c>
      <c r="D334" s="82">
        <v>15782195</v>
      </c>
      <c r="E334" s="82" t="s">
        <v>69</v>
      </c>
      <c r="F334" s="82" t="s">
        <v>245</v>
      </c>
    </row>
    <row r="335" spans="1:8" hidden="1">
      <c r="A335" s="82" t="s">
        <v>216</v>
      </c>
      <c r="B335" s="82">
        <v>15754746</v>
      </c>
      <c r="C335" s="82">
        <v>-9.06E-2</v>
      </c>
      <c r="D335" s="82">
        <v>15959056</v>
      </c>
      <c r="E335" s="82" t="s">
        <v>71</v>
      </c>
      <c r="F335" s="82" t="s">
        <v>246</v>
      </c>
    </row>
    <row r="336" spans="1:8" hidden="1">
      <c r="A336" s="82" t="s">
        <v>217</v>
      </c>
      <c r="B336" s="82">
        <v>17323629</v>
      </c>
      <c r="C336" s="82">
        <v>8.5300000000000001E-2</v>
      </c>
      <c r="D336" s="82">
        <v>15512819</v>
      </c>
    </row>
    <row r="337" spans="1:4" hidden="1">
      <c r="A337" s="82" t="s">
        <v>218</v>
      </c>
      <c r="B337" s="82">
        <v>15962745</v>
      </c>
      <c r="C337" s="82">
        <v>-2.35E-2</v>
      </c>
      <c r="D337" s="82">
        <v>15357996</v>
      </c>
    </row>
    <row r="338" spans="1:4" hidden="1">
      <c r="A338" s="82" t="s">
        <v>219</v>
      </c>
      <c r="B338" s="82">
        <v>16346964</v>
      </c>
      <c r="C338" s="82">
        <v>4.9200000000000001E-2</v>
      </c>
      <c r="D338" s="82">
        <v>15355174</v>
      </c>
    </row>
    <row r="339" spans="1:4" hidden="1">
      <c r="A339" s="82" t="s">
        <v>220</v>
      </c>
      <c r="B339" s="82">
        <v>15580335</v>
      </c>
      <c r="C339" s="82">
        <v>-2.7300000000000001E-2</v>
      </c>
      <c r="D339" s="82">
        <v>15230759</v>
      </c>
    </row>
    <row r="340" spans="1:4" hidden="1">
      <c r="A340" s="82" t="s">
        <v>221</v>
      </c>
      <c r="B340" s="82">
        <v>16017661</v>
      </c>
      <c r="C340" s="82">
        <v>4.3999999999999997E-2</v>
      </c>
      <c r="D340" s="82">
        <v>15668886</v>
      </c>
    </row>
    <row r="341" spans="1:4" hidden="1">
      <c r="A341" s="82" t="s">
        <v>222</v>
      </c>
      <c r="B341" s="82">
        <v>15342942</v>
      </c>
      <c r="C341" s="82">
        <v>-4.3200000000000002E-2</v>
      </c>
      <c r="D341" s="82">
        <v>14620564</v>
      </c>
    </row>
    <row r="342" spans="1:4" hidden="1">
      <c r="A342" s="82" t="s">
        <v>223</v>
      </c>
      <c r="B342" s="82">
        <v>16035621</v>
      </c>
      <c r="C342" s="82">
        <v>-1.0500000000000001E-2</v>
      </c>
      <c r="D342" s="82">
        <v>15298086</v>
      </c>
    </row>
    <row r="343" spans="1:4" hidden="1">
      <c r="A343" s="82" t="s">
        <v>224</v>
      </c>
      <c r="B343" s="82">
        <v>16205597</v>
      </c>
      <c r="C343" s="82">
        <v>7.1999999999999998E-3</v>
      </c>
      <c r="D343" s="82">
        <v>15599186</v>
      </c>
    </row>
    <row r="344" spans="1:4" hidden="1">
      <c r="A344" s="82">
        <v>36495</v>
      </c>
      <c r="B344" s="82">
        <v>16090038</v>
      </c>
      <c r="C344" s="82">
        <v>9.7000000000000003E-3</v>
      </c>
      <c r="D344" s="82">
        <v>16448566</v>
      </c>
    </row>
    <row r="345" spans="1:4" hidden="1">
      <c r="A345" s="82">
        <v>36465</v>
      </c>
      <c r="B345" s="82">
        <v>15936184</v>
      </c>
      <c r="C345" s="82">
        <v>9.7999999999999997E-3</v>
      </c>
      <c r="D345" s="82">
        <v>15401165</v>
      </c>
    </row>
    <row r="346" spans="1:4" hidden="1">
      <c r="A346" s="82">
        <v>36434</v>
      </c>
      <c r="B346" s="82">
        <v>15782195</v>
      </c>
      <c r="C346" s="82">
        <v>-1.11E-2</v>
      </c>
      <c r="D346" s="82">
        <v>15594082</v>
      </c>
    </row>
    <row r="347" spans="1:4" hidden="1">
      <c r="A347" s="82">
        <v>36404</v>
      </c>
      <c r="B347" s="82">
        <v>15959056</v>
      </c>
      <c r="C347" s="82">
        <v>2.8799999999999999E-2</v>
      </c>
      <c r="D347" s="82">
        <v>15647398</v>
      </c>
    </row>
    <row r="348" spans="1:4" hidden="1">
      <c r="A348" s="82">
        <v>36373</v>
      </c>
      <c r="B348" s="82">
        <v>15512819</v>
      </c>
      <c r="C348" s="82">
        <v>1.01E-2</v>
      </c>
      <c r="D348" s="82">
        <v>15461199</v>
      </c>
    </row>
    <row r="349" spans="1:4" hidden="1">
      <c r="A349" s="82">
        <v>36342</v>
      </c>
      <c r="B349" s="82">
        <v>15357996</v>
      </c>
      <c r="C349" s="82">
        <v>2.0000000000000001E-4</v>
      </c>
      <c r="D349" s="82">
        <v>15186445</v>
      </c>
    </row>
    <row r="350" spans="1:4" hidden="1">
      <c r="A350" s="82">
        <v>36312</v>
      </c>
      <c r="B350" s="82">
        <v>15355174</v>
      </c>
      <c r="C350" s="82">
        <v>8.2000000000000007E-3</v>
      </c>
      <c r="D350" s="82">
        <v>14973405</v>
      </c>
    </row>
    <row r="351" spans="1:4" hidden="1">
      <c r="A351" s="82">
        <v>36281</v>
      </c>
      <c r="B351" s="82">
        <v>15230759</v>
      </c>
      <c r="C351" s="82">
        <v>-2.8000000000000001E-2</v>
      </c>
      <c r="D351" s="82">
        <v>15036262</v>
      </c>
    </row>
    <row r="352" spans="1:4" hidden="1">
      <c r="A352" s="82">
        <v>36251</v>
      </c>
      <c r="B352" s="82">
        <v>15668886</v>
      </c>
      <c r="C352" s="82">
        <v>7.17E-2</v>
      </c>
      <c r="D352" s="82">
        <v>15083506</v>
      </c>
    </row>
    <row r="353" spans="1:4" hidden="1">
      <c r="A353" s="82">
        <v>36220</v>
      </c>
      <c r="B353" s="82">
        <v>14620564</v>
      </c>
      <c r="C353" s="82">
        <v>-4.4299999999999999E-2</v>
      </c>
      <c r="D353" s="82">
        <v>14676031</v>
      </c>
    </row>
    <row r="354" spans="1:4" hidden="1">
      <c r="A354" s="82">
        <v>36192</v>
      </c>
      <c r="B354" s="82">
        <v>15298086</v>
      </c>
      <c r="C354" s="82">
        <v>-1.9300000000000001E-2</v>
      </c>
      <c r="D354" s="82">
        <v>15139546</v>
      </c>
    </row>
    <row r="355" spans="1:4" hidden="1">
      <c r="A355" s="82">
        <v>36161</v>
      </c>
      <c r="B355" s="82">
        <v>15599186</v>
      </c>
      <c r="C355" s="82">
        <v>-5.16E-2</v>
      </c>
      <c r="D355" s="82">
        <v>15392668</v>
      </c>
    </row>
    <row r="356" spans="1:4" hidden="1">
      <c r="A356" s="82">
        <v>36130</v>
      </c>
      <c r="B356" s="82">
        <v>16448566</v>
      </c>
      <c r="C356" s="82">
        <v>6.8000000000000005E-2</v>
      </c>
      <c r="D356" s="82">
        <v>15866856</v>
      </c>
    </row>
    <row r="357" spans="1:4" hidden="1">
      <c r="A357" s="82">
        <v>36100</v>
      </c>
      <c r="B357" s="82">
        <v>15401165</v>
      </c>
      <c r="C357" s="82">
        <v>-1.24E-2</v>
      </c>
      <c r="D357" s="82">
        <v>15450642</v>
      </c>
    </row>
    <row r="358" spans="1:4" hidden="1">
      <c r="A358" s="82">
        <v>36069</v>
      </c>
      <c r="B358" s="82">
        <v>15594082</v>
      </c>
      <c r="C358" s="82">
        <v>-3.3999999999999998E-3</v>
      </c>
      <c r="D358" s="82">
        <v>15405667</v>
      </c>
    </row>
    <row r="359" spans="1:4" hidden="1">
      <c r="A359" s="82">
        <v>36039</v>
      </c>
      <c r="B359" s="82">
        <v>15647398</v>
      </c>
      <c r="C359" s="82">
        <v>1.2E-2</v>
      </c>
      <c r="D359" s="82">
        <v>15515861</v>
      </c>
    </row>
    <row r="360" spans="1:4" hidden="1">
      <c r="A360" s="82">
        <v>36008</v>
      </c>
      <c r="B360" s="82">
        <v>15461199</v>
      </c>
      <c r="C360" s="82">
        <v>1.8100000000000002E-2</v>
      </c>
      <c r="D360" s="82" t="s">
        <v>86</v>
      </c>
    </row>
    <row r="361" spans="1:4" hidden="1">
      <c r="A361" s="82">
        <v>35977</v>
      </c>
      <c r="B361" s="82">
        <v>15186445</v>
      </c>
      <c r="C361" s="82">
        <v>1.4200000000000001E-2</v>
      </c>
      <c r="D361" s="82" t="s">
        <v>86</v>
      </c>
    </row>
    <row r="362" spans="1:4" hidden="1">
      <c r="A362" s="82">
        <v>35947</v>
      </c>
      <c r="B362" s="82">
        <v>14973405</v>
      </c>
      <c r="C362" s="82">
        <v>-4.1999999999999997E-3</v>
      </c>
      <c r="D362" s="82" t="s">
        <v>86</v>
      </c>
    </row>
    <row r="363" spans="1:4" hidden="1">
      <c r="A363" s="82">
        <v>35916</v>
      </c>
      <c r="B363" s="82">
        <v>15036262</v>
      </c>
      <c r="C363" s="82">
        <v>-3.0999999999999999E-3</v>
      </c>
      <c r="D363" s="82" t="s">
        <v>86</v>
      </c>
    </row>
    <row r="364" spans="1:4" hidden="1">
      <c r="A364" s="82">
        <v>35886</v>
      </c>
      <c r="B364" s="82">
        <v>15083506</v>
      </c>
      <c r="C364" s="82">
        <v>2.7799999999999998E-2</v>
      </c>
      <c r="D364" s="82" t="s">
        <v>86</v>
      </c>
    </row>
    <row r="365" spans="1:4" hidden="1">
      <c r="A365" s="82">
        <v>35855</v>
      </c>
      <c r="B365" s="82">
        <v>14676031</v>
      </c>
      <c r="C365" s="82">
        <v>-3.0599999999999999E-2</v>
      </c>
      <c r="D365" s="82" t="s">
        <v>86</v>
      </c>
    </row>
    <row r="366" spans="1:4" hidden="1">
      <c r="A366" s="82">
        <v>35827</v>
      </c>
      <c r="B366" s="82">
        <v>15139546</v>
      </c>
      <c r="C366" s="82">
        <v>-1.6400000000000001E-2</v>
      </c>
      <c r="D366" s="82" t="s">
        <v>86</v>
      </c>
    </row>
    <row r="367" spans="1:4" hidden="1">
      <c r="A367" s="82">
        <v>35796</v>
      </c>
      <c r="B367" s="82">
        <v>15392668</v>
      </c>
      <c r="C367" s="82">
        <v>-2.9899999999999999E-2</v>
      </c>
      <c r="D367" s="82" t="s">
        <v>86</v>
      </c>
    </row>
    <row r="368" spans="1:4" hidden="1">
      <c r="A368" s="82">
        <v>35765</v>
      </c>
      <c r="B368" s="82">
        <v>15866856</v>
      </c>
      <c r="C368" s="82">
        <v>2.69E-2</v>
      </c>
      <c r="D368" s="82" t="s">
        <v>86</v>
      </c>
    </row>
    <row r="369" spans="1:8" hidden="1">
      <c r="A369" s="82">
        <v>35735</v>
      </c>
      <c r="B369" s="82">
        <v>15450642</v>
      </c>
      <c r="C369" s="82">
        <v>2.8999999999999998E-3</v>
      </c>
      <c r="D369" s="82" t="s">
        <v>86</v>
      </c>
    </row>
    <row r="370" spans="1:8" hidden="1">
      <c r="A370" s="82">
        <v>35704</v>
      </c>
      <c r="B370" s="82">
        <v>15405667</v>
      </c>
      <c r="C370" s="82">
        <v>-7.1000000000000004E-3</v>
      </c>
      <c r="D370" s="82" t="s">
        <v>86</v>
      </c>
    </row>
    <row r="371" spans="1:8" hidden="1">
      <c r="A371" s="82">
        <v>35674</v>
      </c>
      <c r="B371" s="82">
        <v>15515861</v>
      </c>
      <c r="C371" s="82" t="s">
        <v>86</v>
      </c>
      <c r="D371" s="82" t="s">
        <v>86</v>
      </c>
    </row>
    <row r="372" spans="1:8" hidden="1">
      <c r="A372" s="82" t="s">
        <v>0</v>
      </c>
      <c r="B372" s="82">
        <v>2330</v>
      </c>
      <c r="C372" s="82" t="s">
        <v>254</v>
      </c>
    </row>
    <row r="373" spans="1:8" hidden="1">
      <c r="A373" s="82" t="s">
        <v>261</v>
      </c>
      <c r="E373" s="82">
        <v>2330</v>
      </c>
      <c r="G373" s="82" t="s">
        <v>262</v>
      </c>
    </row>
    <row r="374" spans="1:8" hidden="1">
      <c r="A374" s="82" t="s">
        <v>209</v>
      </c>
      <c r="E374" s="82" t="s">
        <v>34</v>
      </c>
      <c r="F374" s="82">
        <v>30564</v>
      </c>
      <c r="G374" s="82" t="s">
        <v>35</v>
      </c>
      <c r="H374" s="82">
        <v>2592.0700000000002</v>
      </c>
    </row>
    <row r="375" spans="1:8" hidden="1">
      <c r="A375" s="82" t="s">
        <v>210</v>
      </c>
      <c r="B375" s="82" t="s">
        <v>211</v>
      </c>
      <c r="C375" s="82" t="s">
        <v>212</v>
      </c>
      <c r="D375" s="82" t="s">
        <v>213</v>
      </c>
      <c r="E375" s="82" t="s">
        <v>37</v>
      </c>
      <c r="F375" s="82">
        <v>7.1224851000000006E-2</v>
      </c>
      <c r="G375" s="82" t="s">
        <v>38</v>
      </c>
      <c r="H375" s="82">
        <v>18481.4591</v>
      </c>
    </row>
    <row r="376" spans="1:8" hidden="1">
      <c r="A376" s="82" t="s">
        <v>263</v>
      </c>
      <c r="B376" s="82">
        <v>49282571</v>
      </c>
      <c r="C376" s="82">
        <v>0.151</v>
      </c>
      <c r="D376" s="82">
        <v>37246661</v>
      </c>
      <c r="E376" s="82" t="s">
        <v>40</v>
      </c>
      <c r="F376" s="82">
        <v>0.775953852</v>
      </c>
      <c r="G376" s="82" t="s">
        <v>41</v>
      </c>
      <c r="H376" s="82">
        <v>0.48820000000000002</v>
      </c>
    </row>
    <row r="377" spans="1:8" hidden="1">
      <c r="A377" s="82" t="s">
        <v>258</v>
      </c>
      <c r="B377" s="82">
        <v>42816800</v>
      </c>
      <c r="C377" s="82">
        <v>-0.12429999999999999</v>
      </c>
      <c r="D377" s="82">
        <v>32860849</v>
      </c>
      <c r="E377" s="82" t="s">
        <v>43</v>
      </c>
      <c r="F377" s="82">
        <v>15.08</v>
      </c>
      <c r="G377" s="82" t="s">
        <v>44</v>
      </c>
      <c r="H377" s="82">
        <v>0.37240000000000001</v>
      </c>
    </row>
    <row r="378" spans="1:8" hidden="1">
      <c r="A378" s="82" t="s">
        <v>241</v>
      </c>
      <c r="B378" s="82">
        <v>48896013</v>
      </c>
      <c r="C378" s="82">
        <v>2.0299999999999999E-2</v>
      </c>
      <c r="D378" s="82">
        <v>37041705</v>
      </c>
      <c r="E378" s="82" t="s">
        <v>46</v>
      </c>
      <c r="F378" s="82">
        <v>3.49</v>
      </c>
      <c r="G378" s="82" t="s">
        <v>47</v>
      </c>
      <c r="H378" s="82">
        <v>3692</v>
      </c>
    </row>
    <row r="379" spans="1:8" hidden="1">
      <c r="A379" s="82" t="s">
        <v>242</v>
      </c>
      <c r="B379" s="82">
        <v>47924170</v>
      </c>
      <c r="C379" s="82">
        <v>0.1179</v>
      </c>
      <c r="D379" s="82">
        <v>34916788</v>
      </c>
      <c r="E379" s="82" t="s">
        <v>49</v>
      </c>
      <c r="F379" s="82">
        <v>22.47</v>
      </c>
      <c r="G379" s="82" t="s">
        <v>50</v>
      </c>
      <c r="H379" s="82">
        <v>5.45</v>
      </c>
    </row>
    <row r="380" spans="1:8" hidden="1">
      <c r="A380" s="82" t="s">
        <v>236</v>
      </c>
      <c r="B380" s="82">
        <v>42869733</v>
      </c>
      <c r="C380" s="82">
        <v>-1.7299999999999999E-2</v>
      </c>
      <c r="D380" s="82">
        <v>35653939</v>
      </c>
      <c r="E380" s="82" t="s">
        <v>52</v>
      </c>
      <c r="F380" s="82">
        <v>26.02</v>
      </c>
      <c r="G380" s="82" t="s">
        <v>53</v>
      </c>
      <c r="H380" s="82">
        <v>0.22716</v>
      </c>
    </row>
    <row r="381" spans="1:8" hidden="1">
      <c r="A381" s="82" t="s">
        <v>234</v>
      </c>
      <c r="B381" s="82">
        <v>43623222</v>
      </c>
      <c r="C381" s="82">
        <v>9.0399999999999994E-2</v>
      </c>
      <c r="D381" s="82">
        <v>35960997</v>
      </c>
      <c r="E381" s="82" t="s">
        <v>225</v>
      </c>
      <c r="F381" s="82">
        <v>71.3</v>
      </c>
      <c r="G381" s="82" t="s">
        <v>55</v>
      </c>
      <c r="H381" s="82">
        <v>0.67425241700000005</v>
      </c>
    </row>
    <row r="382" spans="1:8" hidden="1">
      <c r="A382" s="82" t="s">
        <v>230</v>
      </c>
      <c r="B382" s="82">
        <v>40007591</v>
      </c>
      <c r="C382" s="82">
        <v>9.2799999999999994E-2</v>
      </c>
      <c r="D382" s="82">
        <v>36230359</v>
      </c>
      <c r="E382" s="82" t="s">
        <v>57</v>
      </c>
      <c r="G382" s="82" t="s">
        <v>58</v>
      </c>
      <c r="H382" s="82">
        <v>0</v>
      </c>
    </row>
    <row r="383" spans="1:8" hidden="1">
      <c r="A383" s="82" t="s">
        <v>231</v>
      </c>
      <c r="B383" s="82">
        <v>36611146</v>
      </c>
      <c r="C383" s="82">
        <v>9.01E-2</v>
      </c>
      <c r="D383" s="82">
        <v>36370479</v>
      </c>
      <c r="E383" s="82" t="s">
        <v>60</v>
      </c>
      <c r="G383" s="82" t="s">
        <v>61</v>
      </c>
      <c r="H383" s="82">
        <v>0</v>
      </c>
    </row>
    <row r="384" spans="1:8" hidden="1">
      <c r="A384" s="82" t="s">
        <v>232</v>
      </c>
      <c r="B384" s="82">
        <v>33584499</v>
      </c>
      <c r="C384" s="82">
        <v>-1.38E-2</v>
      </c>
      <c r="D384" s="82">
        <v>31753825</v>
      </c>
      <c r="E384" s="82" t="s">
        <v>63</v>
      </c>
    </row>
    <row r="385" spans="1:6" hidden="1">
      <c r="A385" s="82" t="s">
        <v>233</v>
      </c>
      <c r="B385" s="82">
        <v>34053091</v>
      </c>
      <c r="C385" s="82">
        <v>0.114</v>
      </c>
      <c r="D385" s="82">
        <v>34424173</v>
      </c>
      <c r="E385" s="82" t="s">
        <v>65</v>
      </c>
      <c r="F385" s="82" t="s">
        <v>264</v>
      </c>
    </row>
    <row r="386" spans="1:6" hidden="1">
      <c r="A386" s="82" t="s">
        <v>227</v>
      </c>
      <c r="B386" s="82">
        <v>30566947</v>
      </c>
      <c r="C386" s="82">
        <v>-0.1321</v>
      </c>
      <c r="D386" s="82">
        <v>33751175</v>
      </c>
      <c r="E386" s="82" t="s">
        <v>67</v>
      </c>
      <c r="F386" s="82" t="s">
        <v>265</v>
      </c>
    </row>
    <row r="387" spans="1:6" hidden="1">
      <c r="A387" s="82" t="s">
        <v>214</v>
      </c>
      <c r="B387" s="82">
        <v>35218771</v>
      </c>
      <c r="C387" s="82">
        <v>-5.4399999999999997E-2</v>
      </c>
      <c r="D387" s="82">
        <v>35722299</v>
      </c>
      <c r="E387" s="82" t="s">
        <v>69</v>
      </c>
      <c r="F387" s="82" t="s">
        <v>266</v>
      </c>
    </row>
    <row r="388" spans="1:6" hidden="1">
      <c r="A388" s="82" t="s">
        <v>215</v>
      </c>
      <c r="B388" s="82">
        <v>37246661</v>
      </c>
      <c r="C388" s="82">
        <v>0.13350000000000001</v>
      </c>
      <c r="D388" s="82">
        <v>37372507</v>
      </c>
      <c r="E388" s="82" t="s">
        <v>71</v>
      </c>
      <c r="F388" s="82" t="s">
        <v>267</v>
      </c>
    </row>
    <row r="389" spans="1:6" hidden="1">
      <c r="A389" s="82" t="s">
        <v>216</v>
      </c>
      <c r="B389" s="82">
        <v>32860849</v>
      </c>
      <c r="C389" s="82">
        <v>-0.1129</v>
      </c>
      <c r="D389" s="82">
        <v>36652584</v>
      </c>
    </row>
    <row r="390" spans="1:6" hidden="1">
      <c r="A390" s="82" t="s">
        <v>217</v>
      </c>
      <c r="B390" s="82">
        <v>37041705</v>
      </c>
      <c r="C390" s="82">
        <v>6.0900000000000003E-2</v>
      </c>
      <c r="D390" s="82">
        <v>36498090</v>
      </c>
    </row>
    <row r="391" spans="1:6" hidden="1">
      <c r="A391" s="82" t="s">
        <v>218</v>
      </c>
      <c r="B391" s="82">
        <v>34916788</v>
      </c>
      <c r="C391" s="82">
        <v>-2.07E-2</v>
      </c>
      <c r="D391" s="82">
        <v>36156392</v>
      </c>
    </row>
    <row r="392" spans="1:6" hidden="1">
      <c r="A392" s="82" t="s">
        <v>219</v>
      </c>
      <c r="B392" s="82">
        <v>35653939</v>
      </c>
      <c r="C392" s="82">
        <v>-8.5000000000000006E-3</v>
      </c>
      <c r="D392" s="82">
        <v>35113042</v>
      </c>
    </row>
    <row r="393" spans="1:6" hidden="1">
      <c r="A393" s="82" t="s">
        <v>220</v>
      </c>
      <c r="B393" s="82">
        <v>35960997</v>
      </c>
      <c r="C393" s="82">
        <v>-7.4000000000000003E-3</v>
      </c>
      <c r="D393" s="82">
        <v>33839484</v>
      </c>
    </row>
    <row r="394" spans="1:6" hidden="1">
      <c r="A394" s="82" t="s">
        <v>221</v>
      </c>
      <c r="B394" s="82">
        <v>36230359</v>
      </c>
      <c r="C394" s="82">
        <v>-3.8999999999999998E-3</v>
      </c>
      <c r="D394" s="82">
        <v>32683232</v>
      </c>
    </row>
    <row r="395" spans="1:6" hidden="1">
      <c r="A395" s="82" t="s">
        <v>222</v>
      </c>
      <c r="B395" s="82">
        <v>36370479</v>
      </c>
      <c r="C395" s="82">
        <v>0.1454</v>
      </c>
      <c r="D395" s="82">
        <v>30823003</v>
      </c>
    </row>
    <row r="396" spans="1:6" hidden="1">
      <c r="A396" s="82" t="s">
        <v>223</v>
      </c>
      <c r="B396" s="82">
        <v>31753825</v>
      </c>
      <c r="C396" s="82">
        <v>-7.7600000000000002E-2</v>
      </c>
      <c r="D396" s="82">
        <v>29195234</v>
      </c>
    </row>
    <row r="397" spans="1:6" hidden="1">
      <c r="A397" s="82" t="s">
        <v>224</v>
      </c>
      <c r="B397" s="82">
        <v>34424173</v>
      </c>
      <c r="C397" s="82">
        <v>1.9900000000000001E-2</v>
      </c>
      <c r="D397" s="82">
        <v>29156271</v>
      </c>
    </row>
    <row r="398" spans="1:6" hidden="1">
      <c r="A398" s="82">
        <v>36495</v>
      </c>
      <c r="B398" s="82">
        <v>33751175</v>
      </c>
      <c r="C398" s="82">
        <v>-5.5199999999999999E-2</v>
      </c>
      <c r="D398" s="82">
        <v>30466359</v>
      </c>
    </row>
    <row r="399" spans="1:6" hidden="1">
      <c r="A399" s="82">
        <v>36465</v>
      </c>
      <c r="B399" s="82">
        <v>35722299</v>
      </c>
      <c r="C399" s="82">
        <v>-4.4200000000000003E-2</v>
      </c>
      <c r="D399" s="82">
        <v>29349036</v>
      </c>
    </row>
    <row r="400" spans="1:6" hidden="1">
      <c r="A400" s="82">
        <v>36434</v>
      </c>
      <c r="B400" s="82">
        <v>37372507</v>
      </c>
      <c r="C400" s="82">
        <v>1.9599999999999999E-2</v>
      </c>
      <c r="D400" s="82">
        <v>29180950</v>
      </c>
    </row>
    <row r="401" spans="1:4" hidden="1">
      <c r="A401" s="82">
        <v>36404</v>
      </c>
      <c r="B401" s="82">
        <v>36652584</v>
      </c>
      <c r="C401" s="82">
        <v>4.1999999999999997E-3</v>
      </c>
      <c r="D401" s="82">
        <v>28024082</v>
      </c>
    </row>
    <row r="402" spans="1:4" hidden="1">
      <c r="A402" s="82">
        <v>36373</v>
      </c>
      <c r="B402" s="82">
        <v>36498090</v>
      </c>
      <c r="C402" s="82">
        <v>9.4999999999999998E-3</v>
      </c>
      <c r="D402" s="82">
        <v>28887650</v>
      </c>
    </row>
    <row r="403" spans="1:4" hidden="1">
      <c r="A403" s="82">
        <v>36342</v>
      </c>
      <c r="B403" s="82">
        <v>36156392</v>
      </c>
      <c r="C403" s="82">
        <v>2.9700000000000001E-2</v>
      </c>
      <c r="D403" s="82">
        <v>30278581</v>
      </c>
    </row>
    <row r="404" spans="1:4" hidden="1">
      <c r="A404" s="82">
        <v>36312</v>
      </c>
      <c r="B404" s="82">
        <v>35113042</v>
      </c>
      <c r="C404" s="82">
        <v>3.7600000000000001E-2</v>
      </c>
      <c r="D404" s="82">
        <v>25777846</v>
      </c>
    </row>
    <row r="405" spans="1:4" hidden="1">
      <c r="A405" s="82">
        <v>36281</v>
      </c>
      <c r="B405" s="82">
        <v>33839484</v>
      </c>
      <c r="C405" s="82">
        <v>3.5400000000000001E-2</v>
      </c>
      <c r="D405" s="82">
        <v>24473921</v>
      </c>
    </row>
    <row r="406" spans="1:4" hidden="1">
      <c r="A406" s="82">
        <v>36251</v>
      </c>
      <c r="B406" s="82">
        <v>32683232</v>
      </c>
      <c r="C406" s="82">
        <v>6.0400000000000002E-2</v>
      </c>
      <c r="D406" s="82">
        <v>21744749</v>
      </c>
    </row>
    <row r="407" spans="1:4" hidden="1">
      <c r="A407" s="82">
        <v>36220</v>
      </c>
      <c r="B407" s="82">
        <v>30823003</v>
      </c>
      <c r="C407" s="82">
        <v>5.5800000000000002E-2</v>
      </c>
      <c r="D407" s="82">
        <v>13619497</v>
      </c>
    </row>
    <row r="408" spans="1:4" hidden="1">
      <c r="A408" s="82">
        <v>36192</v>
      </c>
      <c r="B408" s="82">
        <v>29195234</v>
      </c>
      <c r="C408" s="82">
        <v>1.2999999999999999E-3</v>
      </c>
      <c r="D408" s="82">
        <v>11503819</v>
      </c>
    </row>
    <row r="409" spans="1:4" hidden="1">
      <c r="A409" s="82">
        <v>36161</v>
      </c>
      <c r="B409" s="82">
        <v>29156271</v>
      </c>
      <c r="C409" s="82">
        <v>-4.2999999999999997E-2</v>
      </c>
      <c r="D409" s="82">
        <v>12436378</v>
      </c>
    </row>
    <row r="410" spans="1:4" hidden="1">
      <c r="A410" s="82">
        <v>36130</v>
      </c>
      <c r="B410" s="82">
        <v>30466359</v>
      </c>
      <c r="C410" s="82">
        <v>3.8100000000000002E-2</v>
      </c>
      <c r="D410" s="82">
        <v>13160762</v>
      </c>
    </row>
    <row r="411" spans="1:4" hidden="1">
      <c r="A411" s="82">
        <v>36100</v>
      </c>
      <c r="B411" s="82">
        <v>29349036</v>
      </c>
      <c r="C411" s="82">
        <v>5.7999999999999996E-3</v>
      </c>
      <c r="D411" s="82">
        <v>19294770</v>
      </c>
    </row>
    <row r="412" spans="1:4" hidden="1">
      <c r="A412" s="82">
        <v>36069</v>
      </c>
      <c r="B412" s="82">
        <v>29180950</v>
      </c>
      <c r="C412" s="82">
        <v>4.1300000000000003E-2</v>
      </c>
      <c r="D412" s="82">
        <v>28370678</v>
      </c>
    </row>
    <row r="413" spans="1:4" hidden="1">
      <c r="A413" s="82">
        <v>36039</v>
      </c>
      <c r="B413" s="82">
        <v>28024082</v>
      </c>
      <c r="C413" s="82">
        <v>-2.9899999999999999E-2</v>
      </c>
      <c r="D413" s="82" t="s">
        <v>86</v>
      </c>
    </row>
    <row r="414" spans="1:4" hidden="1">
      <c r="A414" s="82">
        <v>36008</v>
      </c>
      <c r="B414" s="82">
        <v>28887650</v>
      </c>
      <c r="C414" s="82">
        <v>-4.5900000000000003E-2</v>
      </c>
      <c r="D414" s="82" t="s">
        <v>86</v>
      </c>
    </row>
    <row r="415" spans="1:4" hidden="1">
      <c r="A415" s="82">
        <v>35977</v>
      </c>
      <c r="B415" s="82">
        <v>30278581</v>
      </c>
      <c r="C415" s="82">
        <v>0.17460000000000001</v>
      </c>
      <c r="D415" s="82" t="s">
        <v>86</v>
      </c>
    </row>
    <row r="416" spans="1:4" hidden="1">
      <c r="A416" s="82">
        <v>35947</v>
      </c>
      <c r="B416" s="82">
        <v>25777846</v>
      </c>
      <c r="C416" s="82">
        <v>5.33E-2</v>
      </c>
      <c r="D416" s="82" t="s">
        <v>86</v>
      </c>
    </row>
    <row r="417" spans="1:4" hidden="1">
      <c r="A417" s="82">
        <v>35916</v>
      </c>
      <c r="B417" s="82">
        <v>24473921</v>
      </c>
      <c r="C417" s="82">
        <v>0.1255</v>
      </c>
      <c r="D417" s="82" t="s">
        <v>86</v>
      </c>
    </row>
    <row r="418" spans="1:4" hidden="1">
      <c r="A418" s="82">
        <v>35886</v>
      </c>
      <c r="B418" s="82">
        <v>21744749</v>
      </c>
      <c r="C418" s="82">
        <v>0.59660000000000002</v>
      </c>
      <c r="D418" s="82" t="s">
        <v>86</v>
      </c>
    </row>
    <row r="419" spans="1:4" hidden="1">
      <c r="A419" s="82">
        <v>35855</v>
      </c>
      <c r="B419" s="82">
        <v>13619497</v>
      </c>
      <c r="C419" s="82">
        <v>0.18390000000000001</v>
      </c>
      <c r="D419" s="82" t="s">
        <v>86</v>
      </c>
    </row>
    <row r="420" spans="1:4" hidden="1">
      <c r="A420" s="82">
        <v>35827</v>
      </c>
      <c r="B420" s="82">
        <v>11503819</v>
      </c>
      <c r="C420" s="82">
        <v>-7.4999999999999997E-2</v>
      </c>
      <c r="D420" s="82" t="s">
        <v>86</v>
      </c>
    </row>
    <row r="421" spans="1:4" hidden="1">
      <c r="A421" s="82">
        <v>35796</v>
      </c>
      <c r="B421" s="82">
        <v>12436378</v>
      </c>
      <c r="C421" s="82">
        <v>-5.5E-2</v>
      </c>
      <c r="D421" s="82" t="s">
        <v>86</v>
      </c>
    </row>
    <row r="422" spans="1:4" hidden="1">
      <c r="A422" s="82">
        <v>35765</v>
      </c>
      <c r="B422" s="82">
        <v>13160762</v>
      </c>
      <c r="C422" s="82">
        <v>-0.31790000000000002</v>
      </c>
      <c r="D422" s="82" t="s">
        <v>86</v>
      </c>
    </row>
    <row r="423" spans="1:4" hidden="1">
      <c r="A423" s="82">
        <v>35735</v>
      </c>
      <c r="B423" s="82">
        <v>19294770</v>
      </c>
      <c r="C423" s="82">
        <v>-0.31990000000000002</v>
      </c>
      <c r="D423" s="82" t="s">
        <v>86</v>
      </c>
    </row>
    <row r="424" spans="1:4" hidden="1">
      <c r="A424" s="82">
        <v>35704</v>
      </c>
      <c r="B424" s="82">
        <v>28370678</v>
      </c>
      <c r="C424" s="82" t="s">
        <v>86</v>
      </c>
      <c r="D424" s="82" t="s">
        <v>86</v>
      </c>
    </row>
    <row r="425" spans="1:4" hidden="1"/>
    <row r="426" spans="1:4" hidden="1"/>
    <row r="427" spans="1:4" hidden="1"/>
    <row r="428" spans="1:4" hidden="1"/>
    <row r="429" spans="1:4" hidden="1"/>
    <row r="430" spans="1:4" hidden="1"/>
    <row r="431" spans="1:4" hidden="1"/>
    <row r="432" spans="1:4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</sheetData>
  <sheetProtection password="FA0B" sheet="1" objects="1" scenarios="1"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"/>
  <sheetViews>
    <sheetView showGridLines="0" workbookViewId="0">
      <pane ySplit="1" topLeftCell="A2" activePane="bottomLeft" state="frozen"/>
      <selection pane="bottomLeft" sqref="A1:XFD1048576"/>
    </sheetView>
  </sheetViews>
  <sheetFormatPr defaultRowHeight="16.5"/>
  <cols>
    <col min="1" max="3" width="9" style="74"/>
  </cols>
  <sheetData>
    <row r="1" spans="1:4" hidden="1">
      <c r="A1" s="86" t="s">
        <v>207</v>
      </c>
      <c r="B1" s="86" t="s">
        <v>0</v>
      </c>
      <c r="C1" s="74" t="s">
        <v>250</v>
      </c>
      <c r="D1">
        <v>2412</v>
      </c>
    </row>
    <row r="2" spans="1:4" s="74" customFormat="1" hidden="1">
      <c r="A2" s="59">
        <v>2330</v>
      </c>
      <c r="B2" s="59" t="s">
        <v>255</v>
      </c>
      <c r="C2" s="59" t="s">
        <v>249</v>
      </c>
    </row>
    <row r="3" spans="1:4" hidden="1">
      <c r="A3" s="59">
        <v>2412</v>
      </c>
      <c r="B3" s="59" t="s">
        <v>253</v>
      </c>
      <c r="C3" s="59" t="s">
        <v>249</v>
      </c>
    </row>
    <row r="4" spans="1:4" hidden="1"/>
    <row r="5" spans="1:4" hidden="1"/>
    <row r="6" spans="1:4" hidden="1"/>
    <row r="7" spans="1:4" hidden="1"/>
    <row r="8" spans="1:4" hidden="1"/>
    <row r="9" spans="1:4" hidden="1"/>
    <row r="10" spans="1:4" hidden="1"/>
    <row r="11" spans="1:4" hidden="1"/>
    <row r="12" spans="1:4" hidden="1"/>
    <row r="13" spans="1:4" hidden="1"/>
    <row r="14" spans="1:4" hidden="1"/>
    <row r="15" spans="1:4" hidden="1"/>
    <row r="16" spans="1:4" hidden="1"/>
    <row r="17" hidden="1"/>
    <row r="18" hidden="1"/>
    <row r="19" hidden="1"/>
  </sheetData>
  <sheetProtection password="FA0B" sheet="1" objects="1" scenarios="1"/>
  <phoneticPr fontId="2" type="noConversion"/>
  <dataValidations count="2">
    <dataValidation type="list" allowBlank="1" showInputMessage="1" showErrorMessage="1" sqref="D2">
      <formula1>$A$3:$A$3</formula1>
    </dataValidation>
    <dataValidation type="list" allowBlank="1" showInputMessage="1" showErrorMessage="1" sqref="D1">
      <formula1>$A$2:$A$3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已命名的範圍</vt:lpstr>
      </vt:variant>
      <vt:variant>
        <vt:i4>1</vt:i4>
      </vt:variant>
    </vt:vector>
  </HeadingPairs>
  <TitlesOfParts>
    <vt:vector size="15" baseType="lpstr">
      <vt:lpstr>主頁</vt:lpstr>
      <vt:lpstr>工作表1</vt:lpstr>
      <vt:lpstr>丹尼版</vt:lpstr>
      <vt:lpstr>工作表2</vt:lpstr>
      <vt:lpstr>綜合損益試算用</vt:lpstr>
      <vt:lpstr>綜合損益(IFRS)</vt:lpstr>
      <vt:lpstr>損益表(舊版)</vt:lpstr>
      <vt:lpstr>資產負債表試算用</vt:lpstr>
      <vt:lpstr>資產負債表(IFRS)</vt:lpstr>
      <vt:lpstr>資產負債表(舊版)</vt:lpstr>
      <vt:lpstr>Y</vt:lpstr>
      <vt:lpstr>S</vt:lpstr>
      <vt:lpstr>D</vt:lpstr>
      <vt:lpstr>code</vt:lpstr>
      <vt:lpstr>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</dc:creator>
  <cp:lastModifiedBy>本機超級管理員</cp:lastModifiedBy>
  <dcterms:created xsi:type="dcterms:W3CDTF">2012-01-03T14:47:22Z</dcterms:created>
  <dcterms:modified xsi:type="dcterms:W3CDTF">2021-04-21T08:35:26Z</dcterms:modified>
</cp:coreProperties>
</file>